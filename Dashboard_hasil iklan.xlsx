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 Harian" sheetId="2" r:id="rId6"/>
    <sheet state="visible" name="Target KPI" sheetId="3" r:id="rId7"/>
    <sheet state="visible" name="Performa Konten" sheetId="4" r:id="rId8"/>
    <sheet state="visible" name="Campaign Meta Ads" sheetId="5" r:id="rId9"/>
    <sheet state="visible" name="Database Leads" sheetId="6" r:id="rId10"/>
    <sheet state="visible" name="Data Closing" sheetId="7" r:id="rId11"/>
    <sheet state="visible" name="Performa Marketing" sheetId="8" r:id="rId12"/>
    <sheet state="visible" name="Referensi" sheetId="9" r:id="rId13"/>
    <sheet state="visible" name="Dashboard Funnel" sheetId="10" r:id="rId14"/>
  </sheets>
  <definedNames/>
  <calcPr/>
</workbook>
</file>

<file path=xl/sharedStrings.xml><?xml version="1.0" encoding="utf-8"?>
<sst xmlns="http://schemas.openxmlformats.org/spreadsheetml/2006/main" count="195" uniqueCount="123">
  <si>
    <t>TARGET KPI MARKETING</t>
  </si>
  <si>
    <t>Tanggal</t>
  </si>
  <si>
    <t xml:space="preserve">DASHBOARD MARKETING </t>
  </si>
  <si>
    <t>Target operasional untuk perbandingan pada Dashboard</t>
  </si>
  <si>
    <t>Ringkasan performa full funnel — terhubung otomatis ke Campaign Meta Ads</t>
  </si>
  <si>
    <t>Indikator</t>
  </si>
  <si>
    <t>Campaign</t>
  </si>
  <si>
    <t>TOTAL BUDGET (RP)</t>
  </si>
  <si>
    <t>Target</t>
  </si>
  <si>
    <t>Platform</t>
  </si>
  <si>
    <t>IMPRESSION</t>
  </si>
  <si>
    <t>Reach</t>
  </si>
  <si>
    <t>Satuan</t>
  </si>
  <si>
    <t>REACH</t>
  </si>
  <si>
    <t>Klik</t>
  </si>
  <si>
    <t>KLIK LINK</t>
  </si>
  <si>
    <t>Share</t>
  </si>
  <si>
    <t>Save</t>
  </si>
  <si>
    <t>Profil</t>
  </si>
  <si>
    <t>akun</t>
  </si>
  <si>
    <t>Followers</t>
  </si>
  <si>
    <t>Klik Link</t>
  </si>
  <si>
    <t>Chat</t>
  </si>
  <si>
    <t>Biaya</t>
  </si>
  <si>
    <t>klik</t>
  </si>
  <si>
    <t>Leads</t>
  </si>
  <si>
    <t>lead</t>
  </si>
  <si>
    <t>Closing</t>
  </si>
  <si>
    <t>closing</t>
  </si>
  <si>
    <t>Omzet</t>
  </si>
  <si>
    <t>rupiah</t>
  </si>
  <si>
    <t>LEADS</t>
  </si>
  <si>
    <t>CLOSING</t>
  </si>
  <si>
    <t>OMZET (RP)</t>
  </si>
  <si>
    <t>KPI</t>
  </si>
  <si>
    <t>Realisasi</t>
  </si>
  <si>
    <t>Pencapaian</t>
  </si>
  <si>
    <t>Budget</t>
  </si>
  <si>
    <t>Konten</t>
  </si>
  <si>
    <t>Jenis</t>
  </si>
  <si>
    <t>Bulan</t>
  </si>
  <si>
    <t>Objective</t>
  </si>
  <si>
    <t>Omzet (Rp)</t>
  </si>
  <si>
    <t>Impression</t>
  </si>
  <si>
    <t>Frequency</t>
  </si>
  <si>
    <t>CTR</t>
  </si>
  <si>
    <t>CPC</t>
  </si>
  <si>
    <t>CPM</t>
  </si>
  <si>
    <t>Kunjungan Profil</t>
  </si>
  <si>
    <t>Cost per Chat</t>
  </si>
  <si>
    <t>CPL</t>
  </si>
  <si>
    <t>Closing Rate</t>
  </si>
  <si>
    <t>ROAS</t>
  </si>
  <si>
    <t>ROI</t>
  </si>
  <si>
    <t>Status</t>
  </si>
  <si>
    <t>Catatan</t>
  </si>
  <si>
    <t>Kelas SR+AR</t>
  </si>
  <si>
    <t>Instagram</t>
  </si>
  <si>
    <t>Aktif</t>
  </si>
  <si>
    <t>Contoh kampanye akuisisi utama</t>
  </si>
  <si>
    <t>Kelas AR</t>
  </si>
  <si>
    <t>Facebook</t>
  </si>
  <si>
    <t>Selesai</t>
  </si>
  <si>
    <t>Contoh kampanye trial class</t>
  </si>
  <si>
    <t>Nama</t>
  </si>
  <si>
    <t>Kota</t>
  </si>
  <si>
    <t>Program</t>
  </si>
  <si>
    <t>Sumber</t>
  </si>
  <si>
    <t>PIC</t>
  </si>
  <si>
    <t>Follow Up</t>
  </si>
  <si>
    <t>Lead</t>
  </si>
  <si>
    <t>Nilai</t>
  </si>
  <si>
    <t>Conversion</t>
  </si>
  <si>
    <t>REFERENSI &amp; KAMUS KPI</t>
  </si>
  <si>
    <t>Daftar pilihan input dan definisi metrik yang digunakan dalam workbook</t>
  </si>
  <si>
    <t>Status Campaign</t>
  </si>
  <si>
    <t>Status Lead</t>
  </si>
  <si>
    <t>Rumus</t>
  </si>
  <si>
    <t>Makna</t>
  </si>
  <si>
    <t>Format</t>
  </si>
  <si>
    <t>Awareness</t>
  </si>
  <si>
    <t>Baru</t>
  </si>
  <si>
    <t>Marketing 1</t>
  </si>
  <si>
    <t>Impression / Reach</t>
  </si>
  <si>
    <t>Rata-rata frekuensi tayang</t>
  </si>
  <si>
    <t>0.00x</t>
  </si>
  <si>
    <t>Traffic</t>
  </si>
  <si>
    <t>Marketing 2</t>
  </si>
  <si>
    <t>Klik Link / Impression</t>
  </si>
  <si>
    <t>Efektivitas iklan menghasilkan klik</t>
  </si>
  <si>
    <t>%</t>
  </si>
  <si>
    <t>TikTok</t>
  </si>
  <si>
    <t>Engagement</t>
  </si>
  <si>
    <t>Pause</t>
  </si>
  <si>
    <t>Qualified</t>
  </si>
  <si>
    <t>Marketing 3</t>
  </si>
  <si>
    <t>Budget / Klik Link</t>
  </si>
  <si>
    <t>Biaya per klik</t>
  </si>
  <si>
    <t>Rp</t>
  </si>
  <si>
    <t>Google</t>
  </si>
  <si>
    <t>Budget / Impression × 1.000</t>
  </si>
  <si>
    <t>Biaya per seribu tayangan</t>
  </si>
  <si>
    <t>Sales</t>
  </si>
  <si>
    <t>Tidak Closing</t>
  </si>
  <si>
    <t>Budget / Chat</t>
  </si>
  <si>
    <t>Biaya per percakapan</t>
  </si>
  <si>
    <t>Budget / Leads</t>
  </si>
  <si>
    <t>Biaya per lead</t>
  </si>
  <si>
    <t>Closing / Leads</t>
  </si>
  <si>
    <t>Persentase lead menjadi closing</t>
  </si>
  <si>
    <t>Omzet / Budget</t>
  </si>
  <si>
    <t>Pendapatan per biaya iklan</t>
  </si>
  <si>
    <t>x</t>
  </si>
  <si>
    <t>(Omzet − Budget) / Budget</t>
  </si>
  <si>
    <t>Imbal hasil setelah biaya iklan</t>
  </si>
  <si>
    <t>Realisasi / Target</t>
  </si>
  <si>
    <t>Realisasi dibanding target</t>
  </si>
  <si>
    <t>DASHBOARD FUNNEL</t>
  </si>
  <si>
    <t>Pergerakan audiens dari awareness hingga revenue</t>
  </si>
  <si>
    <t>Tahapan</t>
  </si>
  <si>
    <t>Jumlah</t>
  </si>
  <si>
    <t>Konversi dari tahap sebelumnya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</si>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</sst>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 yyyy"/>
    <numFmt numFmtId="165" formatCode="0.00x"/>
    <numFmt numFmtId="166" formatCode="Rp #,##0"/>
    <numFmt numFmtId="167" formatCode="0.0%"/>
  </numFmts>
  <fonts count="10">
    <font>
      <sz val="11.0"/>
      <color theme="1"/>
      <name val="Calibri"/>
      <scheme val="minor"/>
    </font>
    <font>
      <b/>
      <sz val="20.0"/>
      <color rgb="FFFFFFFF"/>
      <name val="Calibri"/>
      <scheme val="minor"/>
    </font>
    <font>
      <b/>
      <i/>
      <sz val="10.0"/>
      <color rgb="FF566273"/>
      <name val="Calibri"/>
    </font>
    <font>
      <b/>
      <sz val="10.0"/>
      <color rgb="FFFFFFFF"/>
      <name val="Calibri"/>
      <scheme val="minor"/>
    </font>
    <font>
      <i/>
      <sz val="10.0"/>
      <color rgb="FF566273"/>
      <name val="Calibri"/>
    </font>
    <font>
      <b/>
      <sz val="10.0"/>
      <color rgb="FFFFFFFF"/>
      <name val="Calibri"/>
    </font>
    <font>
      <sz val="10.0"/>
      <color rgb="FF243447"/>
      <name val="Calibri"/>
    </font>
    <font>
      <b/>
      <sz val="18.0"/>
      <color rgb="FF8F1D21"/>
      <name val="Calibri"/>
    </font>
    <font/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F1D21"/>
        <bgColor rgb="FF8F1D21"/>
      </patternFill>
    </fill>
    <fill>
      <patternFill patternType="solid">
        <fgColor rgb="FFF8EDEE"/>
        <bgColor rgb="FFF8EDEE"/>
      </patternFill>
    </fill>
    <fill>
      <patternFill patternType="solid">
        <fgColor rgb="FF203047"/>
        <bgColor rgb="FF203047"/>
      </patternFill>
    </fill>
    <fill>
      <patternFill patternType="solid">
        <fgColor rgb="FFFFFFFF"/>
        <bgColor rgb="FFFFFFFF"/>
      </patternFill>
    </fill>
    <fill>
      <patternFill patternType="solid">
        <fgColor rgb="FFFFF4CC"/>
        <bgColor rgb="FFFFF4CC"/>
      </patternFill>
    </fill>
    <fill>
      <patternFill patternType="solid">
        <fgColor rgb="FFEEF1F4"/>
        <bgColor rgb="FFEEF1F4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</border>
    <border>
      <right/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3" fontId="2" numFmtId="0" xfId="0" applyAlignment="1" applyFill="1" applyFont="1">
      <alignment horizontal="center" vertical="center"/>
    </xf>
    <xf borderId="1" fillId="4" fontId="3" numFmtId="0" xfId="0" applyAlignment="1" applyBorder="1" applyFill="1" applyFont="1">
      <alignment horizontal="center" shrinkToFit="0" vertical="center" wrapText="1"/>
    </xf>
    <xf borderId="0" fillId="3" fontId="4" numFmtId="0" xfId="0" applyAlignment="1" applyFont="1">
      <alignment vertical="center"/>
    </xf>
    <xf borderId="1" fillId="4" fontId="5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0" fillId="4" fontId="5" numFmtId="0" xfId="0" applyAlignment="1" applyFont="1">
      <alignment horizontal="center" vertical="center"/>
    </xf>
    <xf borderId="2" fillId="4" fontId="5" numFmtId="0" xfId="0" applyAlignment="1" applyBorder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 vertical="center"/>
    </xf>
    <xf borderId="0" fillId="0" fontId="6" numFmtId="3" xfId="0" applyAlignment="1" applyFont="1" applyNumberFormat="1">
      <alignment horizontal="left" readingOrder="0" vertical="center"/>
    </xf>
    <xf borderId="0" fillId="0" fontId="6" numFmtId="3" xfId="0" applyAlignment="1" applyFont="1" applyNumberFormat="1">
      <alignment horizontal="left" vertical="center"/>
    </xf>
    <xf borderId="3" fillId="4" fontId="3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0" fillId="0" fontId="6" numFmtId="165" xfId="0" applyAlignment="1" applyFont="1" applyNumberFormat="1">
      <alignment horizontal="left" vertical="center"/>
    </xf>
    <xf borderId="0" fillId="0" fontId="6" numFmtId="166" xfId="0" applyAlignment="1" applyFont="1" applyNumberFormat="1">
      <alignment vertical="center"/>
    </xf>
    <xf borderId="4" fillId="5" fontId="7" numFmtId="3" xfId="0" applyAlignment="1" applyBorder="1" applyFill="1" applyFont="1" applyNumberFormat="1">
      <alignment horizontal="center" vertical="center"/>
    </xf>
    <xf borderId="5" fillId="0" fontId="8" numFmtId="0" xfId="0" applyBorder="1" applyFont="1"/>
    <xf borderId="4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8" fillId="0" fontId="8" numFmtId="0" xfId="0" applyBorder="1" applyFont="1"/>
    <xf borderId="4" fillId="5" fontId="7" numFmtId="165" xfId="0" applyAlignment="1" applyBorder="1" applyFont="1" applyNumberFormat="1">
      <alignment horizontal="center" vertical="center"/>
    </xf>
    <xf borderId="0" fillId="0" fontId="9" numFmtId="164" xfId="0" applyFont="1" applyNumberFormat="1"/>
    <xf borderId="0" fillId="0" fontId="9" numFmtId="166" xfId="0" applyFont="1" applyNumberFormat="1"/>
    <xf borderId="0" fillId="0" fontId="6" numFmtId="3" xfId="0" applyAlignment="1" applyFont="1" applyNumberFormat="1">
      <alignment vertical="center"/>
    </xf>
    <xf borderId="0" fillId="0" fontId="6" numFmtId="167" xfId="0" applyAlignment="1" applyFont="1" applyNumberFormat="1">
      <alignment vertical="center"/>
    </xf>
    <xf borderId="1" fillId="4" fontId="3" numFmtId="0" xfId="0" applyAlignment="1" applyBorder="1" applyFont="1">
      <alignment horizontal="center" shrinkToFit="0" vertical="center" wrapText="1"/>
    </xf>
    <xf borderId="2" fillId="4" fontId="3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0" fillId="0" fontId="6" numFmtId="165" xfId="0" applyAlignment="1" applyFont="1" applyNumberFormat="1">
      <alignment vertical="center"/>
    </xf>
    <xf borderId="3" fillId="4" fontId="5" numFmtId="0" xfId="0" applyAlignment="1" applyBorder="1" applyFont="1">
      <alignment horizontal="center" shrinkToFit="0" vertical="center" wrapText="1"/>
    </xf>
    <xf borderId="0" fillId="6" fontId="6" numFmtId="164" xfId="0" applyAlignment="1" applyFill="1" applyFont="1" applyNumberFormat="1">
      <alignment vertical="center"/>
    </xf>
    <xf borderId="0" fillId="7" fontId="6" numFmtId="0" xfId="0" applyAlignment="1" applyFill="1" applyFont="1">
      <alignment vertical="center"/>
    </xf>
    <xf borderId="0" fillId="6" fontId="6" numFmtId="0" xfId="0" applyAlignment="1" applyFont="1">
      <alignment readingOrder="0" vertical="center"/>
    </xf>
    <xf borderId="0" fillId="6" fontId="6" numFmtId="0" xfId="0" applyAlignment="1" applyFont="1">
      <alignment vertical="center"/>
    </xf>
    <xf borderId="0" fillId="6" fontId="6" numFmtId="3" xfId="0" applyAlignment="1" applyFont="1" applyNumberFormat="1">
      <alignment vertical="center"/>
    </xf>
    <xf borderId="0" fillId="7" fontId="6" numFmtId="2" xfId="0" applyAlignment="1" applyFont="1" applyNumberFormat="1">
      <alignment vertical="center"/>
    </xf>
    <xf borderId="0" fillId="7" fontId="6" numFmtId="10" xfId="0" applyAlignment="1" applyFont="1" applyNumberFormat="1">
      <alignment vertical="center"/>
    </xf>
    <xf borderId="0" fillId="0" fontId="6" numFmtId="166" xfId="0" applyAlignment="1" applyFont="1" applyNumberFormat="1">
      <alignment horizontal="center" vertical="center"/>
    </xf>
    <xf borderId="0" fillId="7" fontId="6" numFmtId="4" xfId="0" applyAlignment="1" applyFont="1" applyNumberFormat="1">
      <alignment vertical="center"/>
    </xf>
    <xf borderId="0" fillId="7" fontId="6" numFmtId="165" xfId="0" applyAlignment="1" applyFont="1" applyNumberFormat="1">
      <alignment vertical="center"/>
    </xf>
    <xf borderId="0" fillId="0" fontId="6" numFmtId="10" xfId="0" applyAlignment="1" applyFont="1" applyNumberFormat="1">
      <alignment vertical="center"/>
    </xf>
    <xf borderId="0" fillId="0" fontId="9" numFmtId="10" xfId="0" applyFont="1" applyNumberFormat="1"/>
    <xf borderId="7" fillId="6" fontId="6" numFmtId="164" xfId="0" applyAlignment="1" applyBorder="1" applyFont="1" applyNumberFormat="1">
      <alignment vertical="center"/>
    </xf>
    <xf borderId="7" fillId="7" fontId="6" numFmtId="0" xfId="0" applyAlignment="1" applyBorder="1" applyFont="1">
      <alignment vertical="center"/>
    </xf>
    <xf borderId="7" fillId="6" fontId="6" numFmtId="0" xfId="0" applyAlignment="1" applyBorder="1" applyFont="1">
      <alignment vertical="center"/>
    </xf>
    <xf borderId="7" fillId="6" fontId="6" numFmtId="3" xfId="0" applyAlignment="1" applyBorder="1" applyFont="1" applyNumberFormat="1">
      <alignment vertical="center"/>
    </xf>
    <xf borderId="7" fillId="7" fontId="6" numFmtId="2" xfId="0" applyAlignment="1" applyBorder="1" applyFont="1" applyNumberFormat="1">
      <alignment vertical="center"/>
    </xf>
    <xf borderId="7" fillId="7" fontId="6" numFmtId="10" xfId="0" applyAlignment="1" applyBorder="1" applyFont="1" applyNumberFormat="1">
      <alignment vertical="center"/>
    </xf>
    <xf borderId="7" fillId="7" fontId="6" numFmtId="4" xfId="0" applyAlignment="1" applyBorder="1" applyFont="1" applyNumberFormat="1">
      <alignment vertical="center"/>
    </xf>
    <xf borderId="7" fillId="7" fontId="6" numFmtId="165" xfId="0" applyAlignment="1" applyBorder="1" applyFont="1" applyNumberFormat="1">
      <alignment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7EF"/>
          <bgColor rgb="FFEAF7EF"/>
        </patternFill>
      </fill>
      <border/>
    </dxf>
  </dxfs>
  <tableStyles count="1">
    <tableStyle count="3" pivot="0" name="Campaign Meta Ad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Marketing Funnel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Jumlah</c:v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'Dashboard Funnel'!$A$6:$A$12</c:f>
            </c:strRef>
          </c:cat>
          <c:val>
            <c:numRef>
              <c:f>'Dashboard Funnel'!$B$6:$B$12</c:f>
              <c:numCache/>
            </c:numRef>
          </c:val>
        </c:ser>
        <c:axId val="1443033197"/>
        <c:axId val="2121292180"/>
      </c:barChart>
      <c:catAx>
        <c:axId val="14430331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1292180"/>
      </c:catAx>
      <c:valAx>
        <c:axId val="2121292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3033197"/>
      </c:valAx>
    </c:plotArea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5810250" cy="43624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Y51" displayName="Table_1" name="Table_1" id="1">
  <tableColumns count="25">
    <tableColumn name="Tanggal" id="1"/>
    <tableColumn name="Bulan" id="2"/>
    <tableColumn name="Campaign" id="3"/>
    <tableColumn name="Objective" id="4"/>
    <tableColumn name="Platform" id="5"/>
    <tableColumn name="Budget" id="6"/>
    <tableColumn name="Impression" id="7"/>
    <tableColumn name="Reach" id="8"/>
    <tableColumn name="Frequency" id="9"/>
    <tableColumn name="Klik Link" id="10"/>
    <tableColumn name="CTR" id="11"/>
    <tableColumn name="CPC" id="12"/>
    <tableColumn name="CPM" id="13"/>
    <tableColumn name="Kunjungan Profil" id="14"/>
    <tableColumn name="Chat" id="15"/>
    <tableColumn name="Cost per Chat" id="16"/>
    <tableColumn name="Leads" id="17"/>
    <tableColumn name="CPL" id="18"/>
    <tableColumn name="Closing" id="19"/>
    <tableColumn name="Closing Rate" id="20"/>
    <tableColumn name="Omzet" id="21"/>
    <tableColumn name="ROAS" id="22"/>
    <tableColumn name="ROI" id="23"/>
    <tableColumn name="Status" id="24"/>
    <tableColumn name="Catatan" id="25"/>
  </tableColumns>
  <tableStyleInfo name="Campaign Meta A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4" width="12.0"/>
    <col customWidth="1" min="5" max="5" width="9.0"/>
    <col customWidth="1" min="6" max="6" width="13.0"/>
    <col customWidth="1" min="7" max="7" width="21.86"/>
    <col customWidth="1" min="8" max="8" width="20.0"/>
    <col customWidth="1" min="9" max="9" width="7.57"/>
    <col customWidth="1" min="10" max="14" width="12.0"/>
    <col customWidth="1" min="15" max="26" width="8.71"/>
  </cols>
  <sheetData>
    <row r="1" ht="30.75" customHeight="1">
      <c r="A1" s="2" t="s">
        <v>2</v>
      </c>
    </row>
    <row r="2" ht="30.75" customHeight="1"/>
    <row r="3" ht="21.75" customHeight="1">
      <c r="A3" s="5" t="s">
        <v>4</v>
      </c>
    </row>
    <row r="5">
      <c r="A5" s="8" t="s">
        <v>7</v>
      </c>
      <c r="D5" s="8" t="s">
        <v>10</v>
      </c>
      <c r="G5" s="8" t="s">
        <v>13</v>
      </c>
      <c r="J5" s="8" t="s">
        <v>15</v>
      </c>
    </row>
    <row r="6">
      <c r="A6" s="19">
        <f>SUM('Campaign Meta Ads'!F2:F51)</f>
        <v>4500000</v>
      </c>
      <c r="C6" s="20"/>
      <c r="D6" s="19">
        <f>SUM('Campaign Meta Ads'!G2:G51)</f>
        <v>340000</v>
      </c>
      <c r="F6" s="20"/>
      <c r="G6" s="19">
        <f>SUM('Campaign Meta Ads'!H2:H51)</f>
        <v>235000</v>
      </c>
      <c r="I6" s="20"/>
      <c r="J6" s="19">
        <f>SUM('Campaign Meta Ads'!J2:J51)</f>
        <v>7300</v>
      </c>
      <c r="L6" s="20"/>
    </row>
    <row r="7">
      <c r="A7" s="21"/>
      <c r="C7" s="20"/>
      <c r="D7" s="21"/>
      <c r="F7" s="20"/>
      <c r="G7" s="21"/>
      <c r="I7" s="20"/>
      <c r="J7" s="21"/>
      <c r="L7" s="20"/>
    </row>
    <row r="8">
      <c r="A8" s="22"/>
      <c r="B8" s="23"/>
      <c r="C8" s="24"/>
      <c r="D8" s="22"/>
      <c r="E8" s="23"/>
      <c r="F8" s="24"/>
      <c r="G8" s="22"/>
      <c r="H8" s="23"/>
      <c r="I8" s="24"/>
      <c r="J8" s="22"/>
      <c r="K8" s="23"/>
      <c r="L8" s="24"/>
    </row>
    <row r="10">
      <c r="A10" s="8" t="s">
        <v>31</v>
      </c>
      <c r="D10" s="8" t="s">
        <v>32</v>
      </c>
      <c r="G10" s="8" t="s">
        <v>33</v>
      </c>
      <c r="J10" s="8"/>
    </row>
    <row r="11">
      <c r="A11" s="19">
        <f>SUM('Campaign Meta Ads'!Q2:Q51)</f>
        <v>355</v>
      </c>
      <c r="C11" s="20"/>
      <c r="D11" s="19">
        <f>SUM('Campaign Meta Ads'!S2:S51)</f>
        <v>117</v>
      </c>
      <c r="F11" s="20"/>
      <c r="G11" s="19">
        <f>SUM('Campaign Meta Ads'!U2:U51)</f>
        <v>72500000</v>
      </c>
      <c r="I11" s="20"/>
      <c r="J11" s="25"/>
      <c r="L11" s="20"/>
    </row>
    <row r="12">
      <c r="A12" s="21"/>
      <c r="C12" s="20"/>
      <c r="D12" s="21"/>
      <c r="F12" s="20"/>
      <c r="G12" s="21"/>
      <c r="I12" s="20"/>
      <c r="J12" s="21"/>
      <c r="L12" s="20"/>
    </row>
    <row r="13">
      <c r="A13" s="22"/>
      <c r="B13" s="23"/>
      <c r="C13" s="24"/>
      <c r="D13" s="22"/>
      <c r="E13" s="23"/>
      <c r="F13" s="24"/>
      <c r="G13" s="22"/>
      <c r="H13" s="23"/>
      <c r="I13" s="24"/>
      <c r="J13" s="22"/>
      <c r="K13" s="23"/>
      <c r="L13" s="24"/>
    </row>
    <row r="15" ht="26.25" customHeight="1">
      <c r="A15" s="6" t="s">
        <v>34</v>
      </c>
      <c r="B15" s="9" t="s">
        <v>8</v>
      </c>
      <c r="C15" s="9" t="s">
        <v>35</v>
      </c>
      <c r="D15" s="10" t="s">
        <v>36</v>
      </c>
      <c r="F15" s="6" t="s">
        <v>6</v>
      </c>
      <c r="G15" s="9" t="s">
        <v>37</v>
      </c>
      <c r="H15" s="10" t="s">
        <v>29</v>
      </c>
    </row>
    <row r="16" ht="21.0" customHeight="1">
      <c r="A16" s="16" t="s">
        <v>11</v>
      </c>
      <c r="B16" s="28">
        <f>'Target KPI'!B5</f>
        <v>500000</v>
      </c>
      <c r="C16" s="28">
        <f>SUM('Campaign Meta Ads'!H2:H51)</f>
        <v>235000</v>
      </c>
      <c r="D16" s="29">
        <f t="shared" ref="D16:D20" si="1">IF(B16=0,"",C16/B16)</f>
        <v>0.47</v>
      </c>
      <c r="F16" s="16" t="str">
        <f>IF('Campaign Meta Ads'!C2="","",'Campaign Meta Ads'!C2)</f>
        <v>Kelas SR+AR</v>
      </c>
      <c r="G16" s="18">
        <f>IF('Campaign Meta Ads'!C2="","",'Campaign Meta Ads'!F2)</f>
        <v>3000000</v>
      </c>
      <c r="H16" s="18">
        <f>IF('Campaign Meta Ads'!C2="","",'Campaign Meta Ads'!U2)</f>
        <v>42500000</v>
      </c>
    </row>
    <row r="17" ht="21.0" customHeight="1">
      <c r="A17" s="16" t="s">
        <v>21</v>
      </c>
      <c r="B17" s="28">
        <f>'Target KPI'!B6</f>
        <v>3000</v>
      </c>
      <c r="C17" s="28">
        <f>SUM('Campaign Meta Ads'!J2:J51)</f>
        <v>7300</v>
      </c>
      <c r="D17" s="29">
        <f t="shared" si="1"/>
        <v>2.433333333</v>
      </c>
      <c r="F17" s="16" t="str">
        <f>IF('Campaign Meta Ads'!C3="","",'Campaign Meta Ads'!C3)</f>
        <v>Kelas AR</v>
      </c>
      <c r="G17" s="18">
        <f>IF('Campaign Meta Ads'!C3="","",'Campaign Meta Ads'!F3)</f>
        <v>1500000</v>
      </c>
      <c r="H17" s="18">
        <f>IF('Campaign Meta Ads'!C3="","",'Campaign Meta Ads'!U3)</f>
        <v>30000000</v>
      </c>
    </row>
    <row r="18" ht="21.0" customHeight="1">
      <c r="A18" s="16" t="s">
        <v>25</v>
      </c>
      <c r="B18" s="28">
        <f>'Target KPI'!B7</f>
        <v>500</v>
      </c>
      <c r="C18" s="28">
        <f>SUM('Campaign Meta Ads'!Q2:Q51)</f>
        <v>355</v>
      </c>
      <c r="D18" s="29">
        <f t="shared" si="1"/>
        <v>0.71</v>
      </c>
      <c r="F18" s="16" t="str">
        <f>IF('Campaign Meta Ads'!C4="","",'Campaign Meta Ads'!C4)</f>
        <v/>
      </c>
      <c r="G18" s="18" t="str">
        <f>IF('Campaign Meta Ads'!C4="","",'Campaign Meta Ads'!F4)</f>
        <v/>
      </c>
      <c r="H18" s="18" t="str">
        <f>IF('Campaign Meta Ads'!C4="","",'Campaign Meta Ads'!U4)</f>
        <v/>
      </c>
    </row>
    <row r="19" ht="21.0" customHeight="1">
      <c r="A19" s="16" t="s">
        <v>27</v>
      </c>
      <c r="B19" s="28">
        <f>'Target KPI'!B8</f>
        <v>433</v>
      </c>
      <c r="C19" s="28">
        <f>SUM('Campaign Meta Ads'!S2:S51)</f>
        <v>117</v>
      </c>
      <c r="D19" s="29">
        <f t="shared" si="1"/>
        <v>0.2702078522</v>
      </c>
      <c r="F19" s="16" t="str">
        <f>IF('Campaign Meta Ads'!C5="","",'Campaign Meta Ads'!C5)</f>
        <v/>
      </c>
      <c r="G19" s="18" t="str">
        <f>IF('Campaign Meta Ads'!C5="","",'Campaign Meta Ads'!F5)</f>
        <v/>
      </c>
      <c r="H19" s="18" t="str">
        <f>IF('Campaign Meta Ads'!C5="","",'Campaign Meta Ads'!U5)</f>
        <v/>
      </c>
    </row>
    <row r="20" ht="21.0" customHeight="1">
      <c r="A20" s="16" t="s">
        <v>42</v>
      </c>
      <c r="B20" s="28">
        <f>'Target KPI'!B9</f>
        <v>6500000000</v>
      </c>
      <c r="C20" s="28">
        <f>SUM('Campaign Meta Ads'!U2:U51)</f>
        <v>72500000</v>
      </c>
      <c r="D20" s="29">
        <f t="shared" si="1"/>
        <v>0.01115384615</v>
      </c>
      <c r="F20" s="16" t="str">
        <f>IF('Campaign Meta Ads'!C6="","",'Campaign Meta Ads'!C6)</f>
        <v/>
      </c>
      <c r="G20" s="18" t="str">
        <f>IF('Campaign Meta Ads'!C6="","",'Campaign Meta Ads'!F6)</f>
        <v/>
      </c>
      <c r="H20" s="18" t="str">
        <f>IF('Campaign Meta Ads'!C6="","",'Campaign Meta Ads'!U6)</f>
        <v/>
      </c>
    </row>
    <row r="21" ht="21.0" customHeight="1">
      <c r="A21" s="16"/>
      <c r="B21" s="33"/>
      <c r="C21" s="33"/>
      <c r="D21" s="29"/>
      <c r="F21" s="16" t="str">
        <f>IF('Campaign Meta Ads'!C7="","",'Campaign Meta Ads'!C7)</f>
        <v/>
      </c>
      <c r="G21" s="18" t="str">
        <f>IF('Campaign Meta Ads'!C7="","",'Campaign Meta Ads'!F7)</f>
        <v/>
      </c>
      <c r="H21" s="18" t="str">
        <f>IF('Campaign Meta Ads'!C7="","",'Campaign Meta Ads'!U7)</f>
        <v/>
      </c>
    </row>
    <row r="22" ht="21.0" customHeight="1">
      <c r="F22" s="16" t="str">
        <f>IF('Campaign Meta Ads'!C8="","",'Campaign Meta Ads'!C8)</f>
        <v/>
      </c>
      <c r="G22" s="18" t="str">
        <f>IF('Campaign Meta Ads'!C8="","",'Campaign Meta Ads'!F8)</f>
        <v/>
      </c>
      <c r="H22" s="18" t="str">
        <f>IF('Campaign Meta Ads'!C8="","",'Campaign Meta Ads'!U8)</f>
        <v/>
      </c>
    </row>
    <row r="23" ht="21.0" customHeight="1">
      <c r="F23" s="16" t="str">
        <f>IF('Campaign Meta Ads'!C9="","",'Campaign Meta Ads'!C9)</f>
        <v/>
      </c>
      <c r="G23" s="18" t="str">
        <f>IF('Campaign Meta Ads'!C9="","",'Campaign Meta Ads'!F9)</f>
        <v/>
      </c>
      <c r="H23" s="42" t="str">
        <f>IF('Campaign Meta Ads'!C9="","",'Campaign Meta Ads'!U9)</f>
        <v/>
      </c>
    </row>
    <row r="24" ht="21.0" customHeight="1">
      <c r="F24" s="16" t="str">
        <f>IF('Campaign Meta Ads'!C10="","",'Campaign Meta Ads'!C10)</f>
        <v/>
      </c>
      <c r="G24" s="18" t="str">
        <f>IF('Campaign Meta Ads'!C10="","",'Campaign Meta Ads'!F10)</f>
        <v/>
      </c>
      <c r="H24" s="18" t="str">
        <f>IF('Campaign Meta Ads'!C10="","",'Campaign Meta Ads'!U10)</f>
        <v/>
      </c>
    </row>
    <row r="25" ht="21.0" customHeight="1">
      <c r="F25" s="16" t="str">
        <f>IF('Campaign Meta Ads'!C11="","",'Campaign Meta Ads'!C11)</f>
        <v/>
      </c>
      <c r="G25" s="18" t="str">
        <f>IF('Campaign Meta Ads'!C11="","",'Campaign Meta Ads'!F11)</f>
        <v/>
      </c>
      <c r="H25" s="18" t="str">
        <f>IF('Campaign Meta Ads'!C11="","",'Campaign Meta Ads'!U11)</f>
        <v/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N2"/>
    <mergeCell ref="A3:N3"/>
    <mergeCell ref="A5:C5"/>
    <mergeCell ref="D5:F5"/>
    <mergeCell ref="G5:I5"/>
    <mergeCell ref="J5:L5"/>
    <mergeCell ref="A6:C8"/>
    <mergeCell ref="J6:L8"/>
    <mergeCell ref="D11:F13"/>
    <mergeCell ref="G11:I13"/>
    <mergeCell ref="D6:F8"/>
    <mergeCell ref="G6:I8"/>
    <mergeCell ref="A10:C10"/>
    <mergeCell ref="D10:F10"/>
    <mergeCell ref="G10:I10"/>
    <mergeCell ref="J10:L10"/>
    <mergeCell ref="A11:C13"/>
    <mergeCell ref="J11:L13"/>
  </mergeCells>
  <conditionalFormatting sqref="D16:D21">
    <cfRule type="colorScale" priority="1">
      <colorScale>
        <cfvo type="min"/>
        <cfvo type="percentile" val="50"/>
        <cfvo type="max"/>
        <color rgb="FFFCE8E6"/>
        <color rgb="FFFFF4CC"/>
        <color rgb="FFD8F3DC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4.0"/>
    <col customWidth="1" min="3" max="3" width="14.0"/>
    <col customWidth="1" min="4" max="4" width="12.0"/>
    <col customWidth="1" min="5" max="7" width="11.0"/>
    <col customWidth="1" min="8" max="9" width="12.0"/>
    <col customWidth="1" min="10" max="10" width="11.0"/>
    <col customWidth="1" min="11" max="11" width="15.0"/>
    <col customWidth="1" min="12" max="13" width="11.0"/>
    <col customWidth="1" min="14" max="26" width="8.71"/>
  </cols>
  <sheetData>
    <row r="1" ht="25.5" customHeight="1">
      <c r="A1" s="4" t="s">
        <v>1</v>
      </c>
      <c r="B1" s="7" t="s">
        <v>6</v>
      </c>
      <c r="C1" s="7" t="s">
        <v>9</v>
      </c>
      <c r="D1" s="7" t="s">
        <v>11</v>
      </c>
      <c r="E1" s="7" t="s">
        <v>14</v>
      </c>
      <c r="F1" s="7" t="s">
        <v>16</v>
      </c>
      <c r="G1" s="7" t="s">
        <v>17</v>
      </c>
      <c r="H1" s="7" t="s">
        <v>18</v>
      </c>
      <c r="I1" s="7" t="s">
        <v>20</v>
      </c>
      <c r="J1" s="7" t="s">
        <v>22</v>
      </c>
      <c r="K1" s="7" t="s">
        <v>23</v>
      </c>
      <c r="L1" s="7" t="s">
        <v>25</v>
      </c>
      <c r="M1" s="14" t="s">
        <v>27</v>
      </c>
    </row>
    <row r="2" ht="21.0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8"/>
      <c r="L2" s="16"/>
      <c r="M2" s="16"/>
    </row>
    <row r="3" ht="21.0" customHeight="1">
      <c r="A3" s="15"/>
      <c r="B3" s="16"/>
      <c r="C3" s="16"/>
      <c r="D3" s="16"/>
      <c r="E3" s="16"/>
      <c r="F3" s="16"/>
      <c r="G3" s="16"/>
      <c r="H3" s="16"/>
      <c r="I3" s="16"/>
      <c r="J3" s="16"/>
      <c r="K3" s="18"/>
      <c r="L3" s="16"/>
      <c r="M3" s="16"/>
    </row>
    <row r="4" ht="21.0" customHeight="1">
      <c r="A4" s="15"/>
      <c r="B4" s="16"/>
      <c r="C4" s="16"/>
      <c r="D4" s="16"/>
      <c r="E4" s="16"/>
      <c r="F4" s="16"/>
      <c r="G4" s="16"/>
      <c r="H4" s="16"/>
      <c r="I4" s="16"/>
      <c r="J4" s="16"/>
      <c r="K4" s="18"/>
      <c r="L4" s="16"/>
      <c r="M4" s="16"/>
    </row>
    <row r="5" ht="21.0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8"/>
      <c r="L5" s="16"/>
      <c r="M5" s="16"/>
    </row>
    <row r="6" ht="21.0" customHeight="1">
      <c r="A6" s="15"/>
      <c r="B6" s="16"/>
      <c r="C6" s="16"/>
      <c r="D6" s="16"/>
      <c r="E6" s="16"/>
      <c r="F6" s="16"/>
      <c r="G6" s="16"/>
      <c r="H6" s="16"/>
      <c r="I6" s="16"/>
      <c r="J6" s="16"/>
      <c r="K6" s="18"/>
      <c r="L6" s="16"/>
      <c r="M6" s="16"/>
    </row>
    <row r="7" ht="21.0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8"/>
      <c r="L7" s="16"/>
      <c r="M7" s="16"/>
    </row>
    <row r="8" ht="21.0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8"/>
      <c r="L8" s="16"/>
      <c r="M8" s="16"/>
    </row>
    <row r="9" ht="21.0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8"/>
      <c r="L9" s="16"/>
      <c r="M9" s="16"/>
    </row>
    <row r="10" ht="21.0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8"/>
      <c r="L10" s="16"/>
      <c r="M10" s="16"/>
    </row>
    <row r="11" ht="21.0" customHeigh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8"/>
      <c r="L11" s="16"/>
      <c r="M11" s="16"/>
    </row>
    <row r="12">
      <c r="A12" s="26"/>
      <c r="K12" s="27"/>
    </row>
    <row r="13">
      <c r="A13" s="26"/>
      <c r="K13" s="27"/>
    </row>
    <row r="14">
      <c r="A14" s="26"/>
      <c r="K14" s="27"/>
    </row>
    <row r="15">
      <c r="A15" s="26"/>
      <c r="K15" s="27"/>
    </row>
    <row r="16">
      <c r="A16" s="26"/>
      <c r="K16" s="27"/>
    </row>
    <row r="17">
      <c r="A17" s="26"/>
      <c r="K17" s="27"/>
    </row>
    <row r="18">
      <c r="A18" s="26"/>
      <c r="K18" s="27"/>
    </row>
    <row r="19">
      <c r="A19" s="26"/>
      <c r="K19" s="27"/>
    </row>
    <row r="20">
      <c r="A20" s="26"/>
      <c r="K20" s="27"/>
    </row>
    <row r="21" ht="15.75" customHeight="1">
      <c r="A21" s="26"/>
      <c r="K21" s="27"/>
    </row>
    <row r="22" ht="15.75" customHeight="1">
      <c r="A22" s="26"/>
      <c r="K22" s="27"/>
    </row>
    <row r="23" ht="15.75" customHeight="1">
      <c r="A23" s="26"/>
      <c r="K23" s="27"/>
    </row>
    <row r="24" ht="15.75" customHeight="1">
      <c r="A24" s="26"/>
      <c r="K24" s="27"/>
    </row>
    <row r="25" ht="15.75" customHeight="1">
      <c r="A25" s="26"/>
      <c r="K25" s="27"/>
    </row>
    <row r="26" ht="15.75" customHeight="1">
      <c r="A26" s="26"/>
      <c r="K26" s="27"/>
    </row>
    <row r="27" ht="15.75" customHeight="1">
      <c r="A27" s="26"/>
      <c r="K27" s="27"/>
    </row>
    <row r="28" ht="15.75" customHeight="1">
      <c r="A28" s="26"/>
      <c r="K28" s="27"/>
    </row>
    <row r="29" ht="15.75" customHeight="1">
      <c r="A29" s="26"/>
      <c r="K29" s="27"/>
    </row>
    <row r="30" ht="15.75" customHeight="1">
      <c r="A30" s="26"/>
      <c r="K30" s="27"/>
    </row>
    <row r="31" ht="15.75" customHeight="1">
      <c r="A31" s="26"/>
      <c r="K31" s="27"/>
    </row>
    <row r="32" ht="15.75" customHeight="1">
      <c r="A32" s="26"/>
      <c r="K32" s="27"/>
    </row>
    <row r="33" ht="15.75" customHeight="1">
      <c r="A33" s="26"/>
      <c r="K33" s="27"/>
    </row>
    <row r="34" ht="15.75" customHeight="1">
      <c r="A34" s="26"/>
      <c r="K34" s="27"/>
    </row>
    <row r="35" ht="15.75" customHeight="1">
      <c r="A35" s="26"/>
      <c r="K35" s="27"/>
    </row>
    <row r="36" ht="15.75" customHeight="1">
      <c r="A36" s="26"/>
      <c r="K36" s="27"/>
    </row>
    <row r="37" ht="15.75" customHeight="1">
      <c r="A37" s="26"/>
      <c r="K37" s="27"/>
    </row>
    <row r="38" ht="15.75" customHeight="1">
      <c r="A38" s="26"/>
      <c r="K38" s="27"/>
    </row>
    <row r="39" ht="15.75" customHeight="1">
      <c r="A39" s="26"/>
      <c r="K39" s="27"/>
    </row>
    <row r="40" ht="15.75" customHeight="1">
      <c r="A40" s="26"/>
      <c r="K40" s="27"/>
    </row>
    <row r="41" ht="15.75" customHeight="1">
      <c r="A41" s="26"/>
      <c r="K41" s="27"/>
    </row>
    <row r="42" ht="15.75" customHeight="1">
      <c r="A42" s="26"/>
      <c r="K42" s="27"/>
    </row>
    <row r="43" ht="15.75" customHeight="1">
      <c r="A43" s="26"/>
      <c r="K43" s="27"/>
    </row>
    <row r="44" ht="15.75" customHeight="1">
      <c r="A44" s="26"/>
      <c r="K44" s="27"/>
    </row>
    <row r="45" ht="15.75" customHeight="1">
      <c r="A45" s="26"/>
      <c r="K45" s="27"/>
    </row>
    <row r="46" ht="15.75" customHeight="1">
      <c r="A46" s="26"/>
      <c r="K46" s="27"/>
    </row>
    <row r="47" ht="15.75" customHeight="1">
      <c r="A47" s="26"/>
      <c r="K47" s="27"/>
    </row>
    <row r="48" ht="15.75" customHeight="1">
      <c r="A48" s="26"/>
      <c r="K48" s="27"/>
    </row>
    <row r="49" ht="15.75" customHeight="1">
      <c r="A49" s="26"/>
      <c r="K49" s="27"/>
    </row>
    <row r="50" ht="15.75" customHeight="1">
      <c r="A50" s="26"/>
      <c r="K50" s="27"/>
    </row>
    <row r="51" ht="15.75" customHeight="1">
      <c r="A51" s="26"/>
      <c r="K51" s="27"/>
    </row>
    <row r="52" ht="15.75" customHeight="1">
      <c r="A52" s="26"/>
      <c r="K52" s="27"/>
    </row>
    <row r="53" ht="15.75" customHeight="1">
      <c r="A53" s="26"/>
      <c r="K53" s="27"/>
    </row>
    <row r="54" ht="15.75" customHeight="1">
      <c r="A54" s="26"/>
      <c r="K54" s="27"/>
    </row>
    <row r="55" ht="15.75" customHeight="1">
      <c r="A55" s="26"/>
      <c r="K55" s="27"/>
    </row>
    <row r="56" ht="15.75" customHeight="1">
      <c r="A56" s="26"/>
      <c r="K56" s="27"/>
    </row>
    <row r="57" ht="15.75" customHeight="1">
      <c r="A57" s="26"/>
      <c r="K57" s="27"/>
    </row>
    <row r="58" ht="15.75" customHeight="1">
      <c r="A58" s="26"/>
      <c r="K58" s="27"/>
    </row>
    <row r="59" ht="15.75" customHeight="1">
      <c r="A59" s="26"/>
      <c r="K59" s="27"/>
    </row>
    <row r="60" ht="15.75" customHeight="1">
      <c r="A60" s="26"/>
      <c r="K60" s="27"/>
    </row>
    <row r="61" ht="15.75" customHeight="1">
      <c r="A61" s="26"/>
      <c r="K61" s="27"/>
    </row>
    <row r="62" ht="15.75" customHeight="1">
      <c r="A62" s="26"/>
      <c r="K62" s="27"/>
    </row>
    <row r="63" ht="15.75" customHeight="1">
      <c r="A63" s="26"/>
      <c r="K63" s="27"/>
    </row>
    <row r="64" ht="15.75" customHeight="1">
      <c r="A64" s="26"/>
      <c r="K64" s="27"/>
    </row>
    <row r="65" ht="15.75" customHeight="1">
      <c r="A65" s="26"/>
      <c r="K65" s="27"/>
    </row>
    <row r="66" ht="15.75" customHeight="1">
      <c r="A66" s="26"/>
      <c r="K66" s="27"/>
    </row>
    <row r="67" ht="15.75" customHeight="1">
      <c r="A67" s="26"/>
      <c r="K67" s="27"/>
    </row>
    <row r="68" ht="15.75" customHeight="1">
      <c r="A68" s="26"/>
      <c r="K68" s="27"/>
    </row>
    <row r="69" ht="15.75" customHeight="1">
      <c r="A69" s="26"/>
      <c r="K69" s="27"/>
    </row>
    <row r="70" ht="15.75" customHeight="1">
      <c r="A70" s="26"/>
      <c r="K70" s="27"/>
    </row>
    <row r="71" ht="15.75" customHeight="1">
      <c r="A71" s="26"/>
      <c r="K71" s="27"/>
    </row>
    <row r="72" ht="15.75" customHeight="1">
      <c r="A72" s="26"/>
      <c r="K72" s="27"/>
    </row>
    <row r="73" ht="15.75" customHeight="1">
      <c r="A73" s="26"/>
      <c r="K73" s="27"/>
    </row>
    <row r="74" ht="15.75" customHeight="1">
      <c r="A74" s="26"/>
      <c r="K74" s="27"/>
    </row>
    <row r="75" ht="15.75" customHeight="1">
      <c r="A75" s="26"/>
      <c r="K75" s="27"/>
    </row>
    <row r="76" ht="15.75" customHeight="1">
      <c r="A76" s="26"/>
      <c r="K76" s="27"/>
    </row>
    <row r="77" ht="15.75" customHeight="1">
      <c r="A77" s="26"/>
      <c r="K77" s="27"/>
    </row>
    <row r="78" ht="15.75" customHeight="1">
      <c r="A78" s="26"/>
      <c r="K78" s="27"/>
    </row>
    <row r="79" ht="15.75" customHeight="1">
      <c r="A79" s="26"/>
      <c r="K79" s="27"/>
    </row>
    <row r="80" ht="15.75" customHeight="1">
      <c r="A80" s="26"/>
      <c r="K80" s="27"/>
    </row>
    <row r="81" ht="15.75" customHeight="1">
      <c r="A81" s="26"/>
      <c r="K81" s="27"/>
    </row>
    <row r="82" ht="15.75" customHeight="1">
      <c r="A82" s="26"/>
      <c r="K82" s="27"/>
    </row>
    <row r="83" ht="15.75" customHeight="1">
      <c r="A83" s="26"/>
      <c r="K83" s="27"/>
    </row>
    <row r="84" ht="15.75" customHeight="1">
      <c r="A84" s="26"/>
      <c r="K84" s="27"/>
    </row>
    <row r="85" ht="15.75" customHeight="1">
      <c r="A85" s="26"/>
      <c r="K85" s="27"/>
    </row>
    <row r="86" ht="15.75" customHeight="1">
      <c r="A86" s="26"/>
      <c r="K86" s="27"/>
    </row>
    <row r="87" ht="15.75" customHeight="1">
      <c r="A87" s="26"/>
      <c r="K87" s="27"/>
    </row>
    <row r="88" ht="15.75" customHeight="1">
      <c r="A88" s="26"/>
      <c r="K88" s="27"/>
    </row>
    <row r="89" ht="15.75" customHeight="1">
      <c r="A89" s="26"/>
      <c r="K89" s="27"/>
    </row>
    <row r="90" ht="15.75" customHeight="1">
      <c r="A90" s="26"/>
      <c r="K90" s="27"/>
    </row>
    <row r="91" ht="15.75" customHeight="1">
      <c r="A91" s="26"/>
      <c r="K91" s="27"/>
    </row>
    <row r="92" ht="15.75" customHeight="1">
      <c r="A92" s="26"/>
      <c r="K92" s="27"/>
    </row>
    <row r="93" ht="15.75" customHeight="1">
      <c r="A93" s="26"/>
      <c r="K93" s="27"/>
    </row>
    <row r="94" ht="15.75" customHeight="1">
      <c r="A94" s="26"/>
      <c r="K94" s="27"/>
    </row>
    <row r="95" ht="15.75" customHeight="1">
      <c r="A95" s="26"/>
      <c r="K95" s="27"/>
    </row>
    <row r="96" ht="15.75" customHeight="1">
      <c r="A96" s="26"/>
      <c r="K96" s="27"/>
    </row>
    <row r="97" ht="15.75" customHeight="1">
      <c r="A97" s="26"/>
      <c r="K97" s="27"/>
    </row>
    <row r="98" ht="15.75" customHeight="1">
      <c r="A98" s="26"/>
      <c r="K98" s="27"/>
    </row>
    <row r="99" ht="15.75" customHeight="1">
      <c r="A99" s="26"/>
      <c r="K99" s="27"/>
    </row>
    <row r="100" ht="15.75" customHeight="1">
      <c r="A100" s="26"/>
      <c r="K100" s="2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7.0"/>
    <col customWidth="1" min="3" max="3" width="14.0"/>
    <col customWidth="1" min="4" max="26" width="8.71"/>
  </cols>
  <sheetData>
    <row r="1" ht="30.75" customHeight="1">
      <c r="A1" s="1" t="s">
        <v>0</v>
      </c>
    </row>
    <row r="2" ht="22.5" customHeight="1">
      <c r="A2" s="3" t="s">
        <v>3</v>
      </c>
    </row>
    <row r="3" ht="21.75" customHeight="1"/>
    <row r="4" ht="21.75" customHeight="1">
      <c r="A4" s="6" t="s">
        <v>5</v>
      </c>
      <c r="B4" s="9" t="s">
        <v>8</v>
      </c>
      <c r="C4" s="10" t="s">
        <v>12</v>
      </c>
    </row>
    <row r="5" ht="21.0" customHeight="1">
      <c r="A5" s="11" t="s">
        <v>11</v>
      </c>
      <c r="B5" s="12">
        <v>500000.0</v>
      </c>
      <c r="C5" s="11" t="s">
        <v>19</v>
      </c>
    </row>
    <row r="6" ht="21.0" customHeight="1">
      <c r="A6" s="11" t="s">
        <v>21</v>
      </c>
      <c r="B6" s="13">
        <v>3000.0</v>
      </c>
      <c r="C6" s="11" t="s">
        <v>24</v>
      </c>
    </row>
    <row r="7" ht="21.0" customHeight="1">
      <c r="A7" s="11" t="s">
        <v>25</v>
      </c>
      <c r="B7" s="12">
        <v>500.0</v>
      </c>
      <c r="C7" s="11" t="s">
        <v>26</v>
      </c>
    </row>
    <row r="8" ht="21.0" customHeight="1">
      <c r="A8" s="11" t="s">
        <v>27</v>
      </c>
      <c r="B8" s="12">
        <v>433.0</v>
      </c>
      <c r="C8" s="11" t="s">
        <v>28</v>
      </c>
    </row>
    <row r="9" ht="21.0" customHeight="1">
      <c r="A9" s="11" t="s">
        <v>29</v>
      </c>
      <c r="B9" s="12">
        <v>6.5E9</v>
      </c>
      <c r="C9" s="11" t="s">
        <v>30</v>
      </c>
    </row>
    <row r="10" ht="21.0" customHeight="1">
      <c r="A10" s="11"/>
      <c r="B10" s="17"/>
      <c r="C10" s="11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F1"/>
    <mergeCell ref="A2:F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30.0"/>
    <col customWidth="1" min="3" max="3" width="15.0"/>
    <col customWidth="1" min="4" max="4" width="12.0"/>
    <col customWidth="1" min="5" max="9" width="11.0"/>
    <col customWidth="1" min="10" max="26" width="8.71"/>
  </cols>
  <sheetData>
    <row r="1" ht="33.75" customHeight="1">
      <c r="A1" s="4" t="s">
        <v>1</v>
      </c>
      <c r="B1" s="7" t="s">
        <v>38</v>
      </c>
      <c r="C1" s="7" t="s">
        <v>39</v>
      </c>
      <c r="D1" s="7" t="s">
        <v>11</v>
      </c>
      <c r="E1" s="7" t="s">
        <v>14</v>
      </c>
      <c r="F1" s="7" t="s">
        <v>16</v>
      </c>
      <c r="G1" s="7" t="s">
        <v>17</v>
      </c>
      <c r="H1" s="7" t="s">
        <v>25</v>
      </c>
      <c r="I1" s="14" t="s">
        <v>27</v>
      </c>
    </row>
    <row r="2" ht="21.0" customHeight="1">
      <c r="A2" s="15"/>
      <c r="B2" s="16"/>
      <c r="C2" s="16"/>
      <c r="D2" s="16"/>
      <c r="E2" s="16"/>
      <c r="F2" s="16"/>
      <c r="G2" s="16"/>
      <c r="H2" s="16"/>
      <c r="I2" s="16"/>
    </row>
    <row r="3" ht="21.0" customHeight="1">
      <c r="A3" s="15"/>
      <c r="B3" s="16"/>
      <c r="C3" s="16"/>
      <c r="D3" s="16"/>
      <c r="E3" s="16"/>
      <c r="F3" s="16"/>
      <c r="G3" s="16"/>
      <c r="H3" s="16"/>
      <c r="I3" s="16"/>
    </row>
    <row r="4" ht="21.0" customHeight="1">
      <c r="A4" s="15"/>
      <c r="B4" s="16"/>
      <c r="C4" s="16"/>
      <c r="D4" s="16"/>
      <c r="E4" s="16"/>
      <c r="F4" s="16"/>
      <c r="G4" s="16"/>
      <c r="H4" s="16"/>
      <c r="I4" s="16"/>
    </row>
    <row r="5" ht="21.0" customHeight="1">
      <c r="A5" s="15"/>
      <c r="B5" s="16"/>
      <c r="C5" s="16"/>
      <c r="D5" s="16"/>
      <c r="E5" s="16"/>
      <c r="F5" s="16"/>
      <c r="G5" s="16"/>
      <c r="H5" s="16"/>
      <c r="I5" s="16"/>
    </row>
    <row r="6" ht="21.0" customHeight="1">
      <c r="A6" s="15"/>
      <c r="B6" s="16"/>
      <c r="C6" s="16"/>
      <c r="D6" s="16"/>
      <c r="E6" s="16"/>
      <c r="F6" s="16"/>
      <c r="G6" s="16"/>
      <c r="H6" s="16"/>
      <c r="I6" s="16"/>
    </row>
    <row r="7" ht="21.0" customHeight="1">
      <c r="A7" s="15"/>
      <c r="B7" s="16"/>
      <c r="C7" s="16"/>
      <c r="D7" s="16"/>
      <c r="E7" s="16"/>
      <c r="F7" s="16"/>
      <c r="G7" s="16"/>
      <c r="H7" s="16"/>
      <c r="I7" s="16"/>
    </row>
    <row r="8" ht="21.0" customHeight="1">
      <c r="A8" s="15"/>
      <c r="B8" s="16"/>
      <c r="C8" s="16"/>
      <c r="D8" s="16"/>
      <c r="E8" s="16"/>
      <c r="F8" s="16"/>
      <c r="G8" s="16"/>
      <c r="H8" s="16"/>
      <c r="I8" s="16"/>
    </row>
    <row r="9" ht="21.0" customHeight="1">
      <c r="A9" s="15"/>
      <c r="B9" s="16"/>
      <c r="C9" s="16"/>
      <c r="D9" s="16"/>
      <c r="E9" s="16"/>
      <c r="F9" s="16"/>
      <c r="G9" s="16"/>
      <c r="H9" s="16"/>
      <c r="I9" s="16"/>
    </row>
    <row r="10" ht="21.0" customHeight="1">
      <c r="A10" s="15"/>
      <c r="B10" s="16"/>
      <c r="C10" s="16"/>
      <c r="D10" s="16"/>
      <c r="E10" s="16"/>
      <c r="F10" s="16"/>
      <c r="G10" s="16"/>
      <c r="H10" s="16"/>
      <c r="I10" s="16"/>
    </row>
    <row r="11" ht="21.0" customHeight="1">
      <c r="A11" s="15"/>
      <c r="B11" s="16"/>
      <c r="C11" s="16"/>
      <c r="D11" s="16"/>
      <c r="E11" s="16"/>
      <c r="F11" s="16"/>
      <c r="G11" s="16"/>
      <c r="H11" s="16"/>
      <c r="I11" s="16"/>
    </row>
    <row r="12">
      <c r="A12" s="26"/>
    </row>
    <row r="13">
      <c r="A13" s="26"/>
    </row>
    <row r="14">
      <c r="A14" s="26"/>
    </row>
    <row r="15">
      <c r="A15" s="26"/>
    </row>
    <row r="16">
      <c r="A16" s="26"/>
    </row>
    <row r="17">
      <c r="A17" s="26"/>
    </row>
    <row r="18">
      <c r="A18" s="26"/>
    </row>
    <row r="19">
      <c r="A19" s="26"/>
    </row>
    <row r="20">
      <c r="A20" s="26"/>
    </row>
    <row r="21" ht="15.75" customHeight="1">
      <c r="A21" s="26"/>
    </row>
    <row r="22" ht="15.75" customHeight="1">
      <c r="A22" s="26"/>
    </row>
    <row r="23" ht="15.75" customHeight="1">
      <c r="A23" s="26"/>
    </row>
    <row r="24" ht="15.75" customHeight="1">
      <c r="A24" s="26"/>
    </row>
    <row r="25" ht="15.75" customHeight="1">
      <c r="A25" s="26"/>
    </row>
    <row r="26" ht="15.75" customHeight="1">
      <c r="A26" s="26"/>
    </row>
    <row r="27" ht="15.75" customHeight="1">
      <c r="A27" s="26"/>
    </row>
    <row r="28" ht="15.75" customHeight="1">
      <c r="A28" s="26"/>
    </row>
    <row r="29" ht="15.75" customHeight="1">
      <c r="A29" s="26"/>
    </row>
    <row r="30" ht="15.75" customHeight="1">
      <c r="A30" s="26"/>
    </row>
    <row r="31" ht="15.75" customHeight="1">
      <c r="A31" s="26"/>
    </row>
    <row r="32" ht="15.75" customHeight="1">
      <c r="A32" s="26"/>
    </row>
    <row r="33" ht="15.75" customHeight="1">
      <c r="A33" s="26"/>
    </row>
    <row r="34" ht="15.75" customHeight="1">
      <c r="A34" s="26"/>
    </row>
    <row r="35" ht="15.75" customHeight="1">
      <c r="A35" s="26"/>
    </row>
    <row r="36" ht="15.75" customHeight="1">
      <c r="A36" s="26"/>
    </row>
    <row r="37" ht="15.75" customHeight="1">
      <c r="A37" s="26"/>
    </row>
    <row r="38" ht="15.75" customHeight="1">
      <c r="A38" s="26"/>
    </row>
    <row r="39" ht="15.75" customHeight="1">
      <c r="A39" s="26"/>
    </row>
    <row r="40" ht="15.75" customHeight="1">
      <c r="A40" s="26"/>
    </row>
    <row r="41" ht="15.75" customHeight="1">
      <c r="A41" s="26"/>
    </row>
    <row r="42" ht="15.75" customHeight="1">
      <c r="A42" s="26"/>
    </row>
    <row r="43" ht="15.75" customHeight="1">
      <c r="A43" s="26"/>
    </row>
    <row r="44" ht="15.75" customHeight="1">
      <c r="A44" s="26"/>
    </row>
    <row r="45" ht="15.75" customHeight="1">
      <c r="A45" s="26"/>
    </row>
    <row r="46" ht="15.75" customHeight="1">
      <c r="A46" s="26"/>
    </row>
    <row r="47" ht="15.75" customHeight="1">
      <c r="A47" s="26"/>
    </row>
    <row r="48" ht="15.75" customHeight="1">
      <c r="A48" s="26"/>
    </row>
    <row r="49" ht="15.75" customHeight="1">
      <c r="A49" s="26"/>
    </row>
    <row r="50" ht="15.75" customHeight="1">
      <c r="A50" s="26"/>
    </row>
    <row r="51" ht="15.75" customHeight="1">
      <c r="A51" s="26"/>
    </row>
    <row r="52" ht="15.75" customHeight="1">
      <c r="A52" s="26"/>
    </row>
    <row r="53" ht="15.75" customHeight="1">
      <c r="A53" s="26"/>
    </row>
    <row r="54" ht="15.75" customHeight="1">
      <c r="A54" s="26"/>
    </row>
    <row r="55" ht="15.75" customHeight="1">
      <c r="A55" s="26"/>
    </row>
    <row r="56" ht="15.75" customHeight="1">
      <c r="A56" s="26"/>
    </row>
    <row r="57" ht="15.75" customHeight="1">
      <c r="A57" s="26"/>
    </row>
    <row r="58" ht="15.75" customHeight="1">
      <c r="A58" s="26"/>
    </row>
    <row r="59" ht="15.75" customHeight="1">
      <c r="A59" s="26"/>
    </row>
    <row r="60" ht="15.75" customHeight="1">
      <c r="A60" s="26"/>
    </row>
    <row r="61" ht="15.75" customHeight="1">
      <c r="A61" s="26"/>
    </row>
    <row r="62" ht="15.75" customHeight="1">
      <c r="A62" s="26"/>
    </row>
    <row r="63" ht="15.75" customHeight="1">
      <c r="A63" s="26"/>
    </row>
    <row r="64" ht="15.75" customHeight="1">
      <c r="A64" s="26"/>
    </row>
    <row r="65" ht="15.75" customHeight="1">
      <c r="A65" s="26"/>
    </row>
    <row r="66" ht="15.75" customHeight="1">
      <c r="A66" s="26"/>
    </row>
    <row r="67" ht="15.75" customHeight="1">
      <c r="A67" s="26"/>
    </row>
    <row r="68" ht="15.75" customHeight="1">
      <c r="A68" s="26"/>
    </row>
    <row r="69" ht="15.75" customHeight="1">
      <c r="A69" s="26"/>
    </row>
    <row r="70" ht="15.75" customHeight="1">
      <c r="A70" s="26"/>
    </row>
    <row r="71" ht="15.75" customHeight="1">
      <c r="A71" s="26"/>
    </row>
    <row r="72" ht="15.75" customHeight="1">
      <c r="A72" s="26"/>
    </row>
    <row r="73" ht="15.75" customHeight="1">
      <c r="A73" s="26"/>
    </row>
    <row r="74" ht="15.75" customHeight="1">
      <c r="A74" s="26"/>
    </row>
    <row r="75" ht="15.75" customHeight="1">
      <c r="A75" s="26"/>
    </row>
    <row r="76" ht="15.75" customHeight="1">
      <c r="A76" s="26"/>
    </row>
    <row r="77" ht="15.75" customHeight="1">
      <c r="A77" s="26"/>
    </row>
    <row r="78" ht="15.75" customHeight="1">
      <c r="A78" s="26"/>
    </row>
    <row r="79" ht="15.75" customHeight="1">
      <c r="A79" s="26"/>
    </row>
    <row r="80" ht="15.75" customHeight="1">
      <c r="A80" s="26"/>
    </row>
    <row r="81" ht="15.75" customHeight="1">
      <c r="A81" s="26"/>
    </row>
    <row r="82" ht="15.75" customHeight="1">
      <c r="A82" s="26"/>
    </row>
    <row r="83" ht="15.75" customHeight="1">
      <c r="A83" s="26"/>
    </row>
    <row r="84" ht="15.75" customHeight="1">
      <c r="A84" s="26"/>
    </row>
    <row r="85" ht="15.75" customHeight="1">
      <c r="A85" s="26"/>
    </row>
    <row r="86" ht="15.75" customHeight="1">
      <c r="A86" s="26"/>
    </row>
    <row r="87" ht="15.75" customHeight="1">
      <c r="A87" s="26"/>
    </row>
    <row r="88" ht="15.75" customHeight="1">
      <c r="A88" s="26"/>
    </row>
    <row r="89" ht="15.75" customHeight="1">
      <c r="A89" s="26"/>
    </row>
    <row r="90" ht="15.75" customHeight="1">
      <c r="A90" s="26"/>
    </row>
    <row r="91" ht="15.75" customHeight="1">
      <c r="A91" s="26"/>
    </row>
    <row r="92" ht="15.75" customHeight="1">
      <c r="A92" s="26"/>
    </row>
    <row r="93" ht="15.75" customHeight="1">
      <c r="A93" s="26"/>
    </row>
    <row r="94" ht="15.75" customHeight="1">
      <c r="A94" s="26"/>
    </row>
    <row r="95" ht="15.75" customHeight="1">
      <c r="A95" s="26"/>
    </row>
    <row r="96" ht="15.75" customHeight="1">
      <c r="A96" s="26"/>
    </row>
    <row r="97" ht="15.75" customHeight="1">
      <c r="A97" s="26"/>
    </row>
    <row r="98" ht="15.75" customHeight="1">
      <c r="A98" s="26"/>
    </row>
    <row r="99" ht="15.75" customHeight="1">
      <c r="A99" s="26"/>
    </row>
    <row r="100" ht="15.75" customHeight="1">
      <c r="A100" s="2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2.0"/>
    <col customWidth="1" min="3" max="3" width="25.0"/>
    <col customWidth="1" min="4" max="4" width="15.0"/>
    <col customWidth="1" min="5" max="5" width="14.0"/>
    <col customWidth="1" min="6" max="6" width="15.0"/>
    <col customWidth="1" min="7" max="8" width="13.0"/>
    <col customWidth="1" min="9" max="9" width="11.0"/>
    <col customWidth="1" min="10" max="10" width="12.0"/>
    <col customWidth="1" min="11" max="11" width="10.0"/>
    <col customWidth="1" min="12" max="13" width="14.0"/>
    <col customWidth="1" min="14" max="14" width="17.0"/>
    <col customWidth="1" min="15" max="15" width="11.0"/>
    <col customWidth="1" min="16" max="16" width="16.0"/>
    <col customWidth="1" min="17" max="17" width="11.0"/>
    <col customWidth="1" min="18" max="18" width="14.0"/>
    <col customWidth="1" min="19" max="19" width="11.0"/>
    <col customWidth="1" min="20" max="20" width="14.0"/>
    <col customWidth="1" min="21" max="21" width="16.0"/>
    <col customWidth="1" min="22" max="22" width="10.0"/>
    <col customWidth="1" min="23" max="23" width="13.29"/>
    <col customWidth="1" min="24" max="24" width="12.0"/>
    <col customWidth="1" min="25" max="25" width="30.0"/>
    <col customWidth="1" min="26" max="26" width="8.71"/>
  </cols>
  <sheetData>
    <row r="1" ht="33.75" customHeight="1">
      <c r="A1" s="30" t="s">
        <v>1</v>
      </c>
      <c r="B1" s="31" t="s">
        <v>40</v>
      </c>
      <c r="C1" s="31" t="s">
        <v>6</v>
      </c>
      <c r="D1" s="31" t="s">
        <v>41</v>
      </c>
      <c r="E1" s="31" t="s">
        <v>9</v>
      </c>
      <c r="F1" s="31" t="s">
        <v>37</v>
      </c>
      <c r="G1" s="31" t="s">
        <v>43</v>
      </c>
      <c r="H1" s="31" t="s">
        <v>11</v>
      </c>
      <c r="I1" s="31" t="s">
        <v>44</v>
      </c>
      <c r="J1" s="32" t="s">
        <v>21</v>
      </c>
      <c r="K1" s="32" t="s">
        <v>45</v>
      </c>
      <c r="L1" s="32" t="s">
        <v>46</v>
      </c>
      <c r="M1" s="32" t="s">
        <v>47</v>
      </c>
      <c r="N1" s="32" t="s">
        <v>48</v>
      </c>
      <c r="O1" s="32" t="s">
        <v>22</v>
      </c>
      <c r="P1" s="32" t="s">
        <v>49</v>
      </c>
      <c r="Q1" s="32" t="s">
        <v>25</v>
      </c>
      <c r="R1" s="32" t="s">
        <v>50</v>
      </c>
      <c r="S1" s="32" t="s">
        <v>27</v>
      </c>
      <c r="T1" s="32" t="s">
        <v>51</v>
      </c>
      <c r="U1" s="32" t="s">
        <v>29</v>
      </c>
      <c r="V1" s="32" t="s">
        <v>52</v>
      </c>
      <c r="W1" s="32" t="s">
        <v>53</v>
      </c>
      <c r="X1" s="32" t="s">
        <v>54</v>
      </c>
      <c r="Y1" s="34" t="s">
        <v>55</v>
      </c>
    </row>
    <row r="2" ht="21.0" customHeight="1">
      <c r="A2" s="35">
        <v>46235.0</v>
      </c>
      <c r="B2" s="36" t="str">
        <f t="shared" ref="B2:B51" si="1">IF(A2="","",TEXT(A2,"mmmm"))</f>
        <v>Agustus</v>
      </c>
      <c r="C2" s="37" t="s">
        <v>56</v>
      </c>
      <c r="D2" s="38" t="s">
        <v>25</v>
      </c>
      <c r="E2" s="38" t="s">
        <v>57</v>
      </c>
      <c r="F2" s="39">
        <v>3000000.0</v>
      </c>
      <c r="G2" s="39">
        <v>220000.0</v>
      </c>
      <c r="H2" s="39">
        <v>150000.0</v>
      </c>
      <c r="I2" s="40">
        <f t="shared" ref="I2:I51" si="2">IF(H2=0,"",G2/H2)</f>
        <v>1.466666667</v>
      </c>
      <c r="J2" s="39">
        <v>4500.0</v>
      </c>
      <c r="K2" s="41">
        <f t="shared" ref="K2:K51" si="3">IF(G2=0,"",J2/G2)</f>
        <v>0.02045454545</v>
      </c>
      <c r="L2" s="43">
        <f t="shared" ref="L2:L51" si="4">IF(J2=0,"",F2/J2)</f>
        <v>666.6666667</v>
      </c>
      <c r="M2" s="43">
        <f t="shared" ref="M2:M51" si="5">IF(G2=0,"",(F2/G2)*1000)</f>
        <v>13636.36364</v>
      </c>
      <c r="N2" s="39">
        <v>1200.0</v>
      </c>
      <c r="O2" s="39">
        <v>520.0</v>
      </c>
      <c r="P2" s="43">
        <f t="shared" ref="P2:P51" si="6">IF(O2=0,"",F2/O2)</f>
        <v>5769.230769</v>
      </c>
      <c r="Q2" s="39">
        <v>210.0</v>
      </c>
      <c r="R2" s="43">
        <f t="shared" ref="R2:R51" si="7">IF(Q2=0,"",F2/Q2)</f>
        <v>14285.71429</v>
      </c>
      <c r="S2" s="39">
        <v>68.0</v>
      </c>
      <c r="T2" s="41">
        <f t="shared" ref="T2:T51" si="8">IF(Q2=0,"",S2/Q2)</f>
        <v>0.3238095238</v>
      </c>
      <c r="U2" s="39">
        <v>4.25E7</v>
      </c>
      <c r="V2" s="44">
        <f t="shared" ref="V2:V51" si="9">IF(F2=0,"",U2/F2)</f>
        <v>14.16666667</v>
      </c>
      <c r="W2" s="41">
        <f t="shared" ref="W2:W51" si="10">IF(F2=0,"",(U2-F2)/F2)</f>
        <v>13.16666667</v>
      </c>
      <c r="X2" s="38" t="s">
        <v>58</v>
      </c>
      <c r="Y2" s="38" t="s">
        <v>59</v>
      </c>
    </row>
    <row r="3" ht="21.0" customHeight="1">
      <c r="A3" s="35">
        <v>46236.0</v>
      </c>
      <c r="B3" s="36" t="str">
        <f t="shared" si="1"/>
        <v>Agustus</v>
      </c>
      <c r="C3" s="37" t="s">
        <v>60</v>
      </c>
      <c r="D3" s="38" t="s">
        <v>25</v>
      </c>
      <c r="E3" s="38" t="s">
        <v>61</v>
      </c>
      <c r="F3" s="39">
        <v>1500000.0</v>
      </c>
      <c r="G3" s="39">
        <v>120000.0</v>
      </c>
      <c r="H3" s="39">
        <v>85000.0</v>
      </c>
      <c r="I3" s="40">
        <f t="shared" si="2"/>
        <v>1.411764706</v>
      </c>
      <c r="J3" s="39">
        <v>2800.0</v>
      </c>
      <c r="K3" s="41">
        <f t="shared" si="3"/>
        <v>0.02333333333</v>
      </c>
      <c r="L3" s="43">
        <f t="shared" si="4"/>
        <v>535.7142857</v>
      </c>
      <c r="M3" s="43">
        <f t="shared" si="5"/>
        <v>12500</v>
      </c>
      <c r="N3" s="39">
        <v>850.0</v>
      </c>
      <c r="O3" s="39">
        <v>340.0</v>
      </c>
      <c r="P3" s="43">
        <f t="shared" si="6"/>
        <v>4411.764706</v>
      </c>
      <c r="Q3" s="39">
        <v>145.0</v>
      </c>
      <c r="R3" s="43">
        <f t="shared" si="7"/>
        <v>10344.82759</v>
      </c>
      <c r="S3" s="39">
        <v>49.0</v>
      </c>
      <c r="T3" s="41">
        <f t="shared" si="8"/>
        <v>0.3379310345</v>
      </c>
      <c r="U3" s="39">
        <v>3.0E7</v>
      </c>
      <c r="V3" s="44">
        <f t="shared" si="9"/>
        <v>20</v>
      </c>
      <c r="W3" s="41">
        <f t="shared" si="10"/>
        <v>19</v>
      </c>
      <c r="X3" s="38" t="s">
        <v>62</v>
      </c>
      <c r="Y3" s="38" t="s">
        <v>63</v>
      </c>
    </row>
    <row r="4" ht="21.0" customHeight="1">
      <c r="A4" s="35"/>
      <c r="B4" s="36" t="str">
        <f t="shared" si="1"/>
        <v/>
      </c>
      <c r="C4" s="38"/>
      <c r="D4" s="38"/>
      <c r="E4" s="38"/>
      <c r="F4" s="39"/>
      <c r="G4" s="39"/>
      <c r="H4" s="39"/>
      <c r="I4" s="40" t="str">
        <f t="shared" si="2"/>
        <v/>
      </c>
      <c r="J4" s="39"/>
      <c r="K4" s="41" t="str">
        <f t="shared" si="3"/>
        <v/>
      </c>
      <c r="L4" s="43" t="str">
        <f t="shared" si="4"/>
        <v/>
      </c>
      <c r="M4" s="43" t="str">
        <f t="shared" si="5"/>
        <v/>
      </c>
      <c r="N4" s="39"/>
      <c r="O4" s="39"/>
      <c r="P4" s="43" t="str">
        <f t="shared" si="6"/>
        <v/>
      </c>
      <c r="Q4" s="39"/>
      <c r="R4" s="43" t="str">
        <f t="shared" si="7"/>
        <v/>
      </c>
      <c r="S4" s="39"/>
      <c r="T4" s="41" t="str">
        <f t="shared" si="8"/>
        <v/>
      </c>
      <c r="U4" s="39"/>
      <c r="V4" s="44" t="str">
        <f t="shared" si="9"/>
        <v/>
      </c>
      <c r="W4" s="41" t="str">
        <f t="shared" si="10"/>
        <v/>
      </c>
      <c r="X4" s="38"/>
      <c r="Y4" s="38"/>
    </row>
    <row r="5" ht="21.0" customHeight="1">
      <c r="A5" s="35"/>
      <c r="B5" s="36" t="str">
        <f t="shared" si="1"/>
        <v/>
      </c>
      <c r="C5" s="38"/>
      <c r="D5" s="38"/>
      <c r="E5" s="38"/>
      <c r="F5" s="39"/>
      <c r="G5" s="39"/>
      <c r="H5" s="39"/>
      <c r="I5" s="40" t="str">
        <f t="shared" si="2"/>
        <v/>
      </c>
      <c r="J5" s="39"/>
      <c r="K5" s="41" t="str">
        <f t="shared" si="3"/>
        <v/>
      </c>
      <c r="L5" s="43" t="str">
        <f t="shared" si="4"/>
        <v/>
      </c>
      <c r="M5" s="43" t="str">
        <f t="shared" si="5"/>
        <v/>
      </c>
      <c r="N5" s="39"/>
      <c r="O5" s="39"/>
      <c r="P5" s="43" t="str">
        <f t="shared" si="6"/>
        <v/>
      </c>
      <c r="Q5" s="39"/>
      <c r="R5" s="43" t="str">
        <f t="shared" si="7"/>
        <v/>
      </c>
      <c r="S5" s="39"/>
      <c r="T5" s="41" t="str">
        <f t="shared" si="8"/>
        <v/>
      </c>
      <c r="U5" s="39"/>
      <c r="V5" s="44" t="str">
        <f t="shared" si="9"/>
        <v/>
      </c>
      <c r="W5" s="41" t="str">
        <f t="shared" si="10"/>
        <v/>
      </c>
      <c r="X5" s="38"/>
      <c r="Y5" s="38"/>
    </row>
    <row r="6" ht="21.0" customHeight="1">
      <c r="A6" s="35"/>
      <c r="B6" s="36" t="str">
        <f t="shared" si="1"/>
        <v/>
      </c>
      <c r="C6" s="38"/>
      <c r="D6" s="38"/>
      <c r="E6" s="38"/>
      <c r="F6" s="39"/>
      <c r="G6" s="39"/>
      <c r="H6" s="39"/>
      <c r="I6" s="40" t="str">
        <f t="shared" si="2"/>
        <v/>
      </c>
      <c r="J6" s="39"/>
      <c r="K6" s="41" t="str">
        <f t="shared" si="3"/>
        <v/>
      </c>
      <c r="L6" s="43" t="str">
        <f t="shared" si="4"/>
        <v/>
      </c>
      <c r="M6" s="43" t="str">
        <f t="shared" si="5"/>
        <v/>
      </c>
      <c r="N6" s="39"/>
      <c r="O6" s="39"/>
      <c r="P6" s="43" t="str">
        <f t="shared" si="6"/>
        <v/>
      </c>
      <c r="Q6" s="39"/>
      <c r="R6" s="43" t="str">
        <f t="shared" si="7"/>
        <v/>
      </c>
      <c r="S6" s="39"/>
      <c r="T6" s="41" t="str">
        <f t="shared" si="8"/>
        <v/>
      </c>
      <c r="U6" s="39"/>
      <c r="V6" s="44" t="str">
        <f t="shared" si="9"/>
        <v/>
      </c>
      <c r="W6" s="41" t="str">
        <f t="shared" si="10"/>
        <v/>
      </c>
      <c r="X6" s="38"/>
      <c r="Y6" s="38"/>
    </row>
    <row r="7" ht="21.0" customHeight="1">
      <c r="A7" s="35"/>
      <c r="B7" s="36" t="str">
        <f t="shared" si="1"/>
        <v/>
      </c>
      <c r="C7" s="38"/>
      <c r="D7" s="38"/>
      <c r="E7" s="38"/>
      <c r="F7" s="39"/>
      <c r="G7" s="39"/>
      <c r="H7" s="39"/>
      <c r="I7" s="40" t="str">
        <f t="shared" si="2"/>
        <v/>
      </c>
      <c r="J7" s="39"/>
      <c r="K7" s="41" t="str">
        <f t="shared" si="3"/>
        <v/>
      </c>
      <c r="L7" s="43" t="str">
        <f t="shared" si="4"/>
        <v/>
      </c>
      <c r="M7" s="43" t="str">
        <f t="shared" si="5"/>
        <v/>
      </c>
      <c r="N7" s="39"/>
      <c r="O7" s="39"/>
      <c r="P7" s="43" t="str">
        <f t="shared" si="6"/>
        <v/>
      </c>
      <c r="Q7" s="39"/>
      <c r="R7" s="43" t="str">
        <f t="shared" si="7"/>
        <v/>
      </c>
      <c r="S7" s="39"/>
      <c r="T7" s="41" t="str">
        <f t="shared" si="8"/>
        <v/>
      </c>
      <c r="U7" s="39"/>
      <c r="V7" s="44" t="str">
        <f t="shared" si="9"/>
        <v/>
      </c>
      <c r="W7" s="41" t="str">
        <f t="shared" si="10"/>
        <v/>
      </c>
      <c r="X7" s="38"/>
      <c r="Y7" s="38"/>
    </row>
    <row r="8" ht="21.0" customHeight="1">
      <c r="A8" s="35"/>
      <c r="B8" s="36" t="str">
        <f t="shared" si="1"/>
        <v/>
      </c>
      <c r="C8" s="38"/>
      <c r="D8" s="38"/>
      <c r="E8" s="38"/>
      <c r="F8" s="39"/>
      <c r="G8" s="39"/>
      <c r="H8" s="39"/>
      <c r="I8" s="40" t="str">
        <f t="shared" si="2"/>
        <v/>
      </c>
      <c r="J8" s="39"/>
      <c r="K8" s="41" t="str">
        <f t="shared" si="3"/>
        <v/>
      </c>
      <c r="L8" s="43" t="str">
        <f t="shared" si="4"/>
        <v/>
      </c>
      <c r="M8" s="43" t="str">
        <f t="shared" si="5"/>
        <v/>
      </c>
      <c r="N8" s="39"/>
      <c r="O8" s="39"/>
      <c r="P8" s="43" t="str">
        <f t="shared" si="6"/>
        <v/>
      </c>
      <c r="Q8" s="39"/>
      <c r="R8" s="43" t="str">
        <f t="shared" si="7"/>
        <v/>
      </c>
      <c r="S8" s="39"/>
      <c r="T8" s="41" t="str">
        <f t="shared" si="8"/>
        <v/>
      </c>
      <c r="U8" s="39"/>
      <c r="V8" s="44" t="str">
        <f t="shared" si="9"/>
        <v/>
      </c>
      <c r="W8" s="41" t="str">
        <f t="shared" si="10"/>
        <v/>
      </c>
      <c r="X8" s="38"/>
      <c r="Y8" s="38"/>
    </row>
    <row r="9" ht="21.0" customHeight="1">
      <c r="A9" s="35"/>
      <c r="B9" s="36" t="str">
        <f t="shared" si="1"/>
        <v/>
      </c>
      <c r="C9" s="38"/>
      <c r="D9" s="38"/>
      <c r="E9" s="38"/>
      <c r="F9" s="39"/>
      <c r="G9" s="39"/>
      <c r="H9" s="39"/>
      <c r="I9" s="40" t="str">
        <f t="shared" si="2"/>
        <v/>
      </c>
      <c r="J9" s="39"/>
      <c r="K9" s="41" t="str">
        <f t="shared" si="3"/>
        <v/>
      </c>
      <c r="L9" s="43" t="str">
        <f t="shared" si="4"/>
        <v/>
      </c>
      <c r="M9" s="43" t="str">
        <f t="shared" si="5"/>
        <v/>
      </c>
      <c r="N9" s="39"/>
      <c r="O9" s="39"/>
      <c r="P9" s="43" t="str">
        <f t="shared" si="6"/>
        <v/>
      </c>
      <c r="Q9" s="39"/>
      <c r="R9" s="43" t="str">
        <f t="shared" si="7"/>
        <v/>
      </c>
      <c r="S9" s="39"/>
      <c r="T9" s="41" t="str">
        <f t="shared" si="8"/>
        <v/>
      </c>
      <c r="U9" s="39"/>
      <c r="V9" s="44" t="str">
        <f t="shared" si="9"/>
        <v/>
      </c>
      <c r="W9" s="41" t="str">
        <f t="shared" si="10"/>
        <v/>
      </c>
      <c r="X9" s="38"/>
      <c r="Y9" s="38"/>
    </row>
    <row r="10" ht="21.0" customHeight="1">
      <c r="A10" s="35"/>
      <c r="B10" s="36" t="str">
        <f t="shared" si="1"/>
        <v/>
      </c>
      <c r="C10" s="38"/>
      <c r="D10" s="38"/>
      <c r="E10" s="38"/>
      <c r="F10" s="39"/>
      <c r="G10" s="39"/>
      <c r="H10" s="39"/>
      <c r="I10" s="40" t="str">
        <f t="shared" si="2"/>
        <v/>
      </c>
      <c r="J10" s="39"/>
      <c r="K10" s="41" t="str">
        <f t="shared" si="3"/>
        <v/>
      </c>
      <c r="L10" s="43" t="str">
        <f t="shared" si="4"/>
        <v/>
      </c>
      <c r="M10" s="43" t="str">
        <f t="shared" si="5"/>
        <v/>
      </c>
      <c r="N10" s="39"/>
      <c r="O10" s="39"/>
      <c r="P10" s="43" t="str">
        <f t="shared" si="6"/>
        <v/>
      </c>
      <c r="Q10" s="39"/>
      <c r="R10" s="43" t="str">
        <f t="shared" si="7"/>
        <v/>
      </c>
      <c r="S10" s="39"/>
      <c r="T10" s="41" t="str">
        <f t="shared" si="8"/>
        <v/>
      </c>
      <c r="U10" s="39"/>
      <c r="V10" s="44" t="str">
        <f t="shared" si="9"/>
        <v/>
      </c>
      <c r="W10" s="41" t="str">
        <f t="shared" si="10"/>
        <v/>
      </c>
      <c r="X10" s="38"/>
      <c r="Y10" s="38"/>
    </row>
    <row r="11" ht="21.0" customHeight="1">
      <c r="A11" s="35"/>
      <c r="B11" s="36" t="str">
        <f t="shared" si="1"/>
        <v/>
      </c>
      <c r="C11" s="38"/>
      <c r="D11" s="38"/>
      <c r="E11" s="38"/>
      <c r="F11" s="39"/>
      <c r="G11" s="39"/>
      <c r="H11" s="39"/>
      <c r="I11" s="40" t="str">
        <f t="shared" si="2"/>
        <v/>
      </c>
      <c r="J11" s="39"/>
      <c r="K11" s="41" t="str">
        <f t="shared" si="3"/>
        <v/>
      </c>
      <c r="L11" s="43" t="str">
        <f t="shared" si="4"/>
        <v/>
      </c>
      <c r="M11" s="43" t="str">
        <f t="shared" si="5"/>
        <v/>
      </c>
      <c r="N11" s="39"/>
      <c r="O11" s="39"/>
      <c r="P11" s="43" t="str">
        <f t="shared" si="6"/>
        <v/>
      </c>
      <c r="Q11" s="39"/>
      <c r="R11" s="43" t="str">
        <f t="shared" si="7"/>
        <v/>
      </c>
      <c r="S11" s="39"/>
      <c r="T11" s="41" t="str">
        <f t="shared" si="8"/>
        <v/>
      </c>
      <c r="U11" s="39"/>
      <c r="V11" s="44" t="str">
        <f t="shared" si="9"/>
        <v/>
      </c>
      <c r="W11" s="41" t="str">
        <f t="shared" si="10"/>
        <v/>
      </c>
      <c r="X11" s="38"/>
      <c r="Y11" s="38"/>
    </row>
    <row r="12" ht="21.0" customHeight="1">
      <c r="A12" s="35"/>
      <c r="B12" s="36" t="str">
        <f t="shared" si="1"/>
        <v/>
      </c>
      <c r="C12" s="38"/>
      <c r="D12" s="38"/>
      <c r="E12" s="38"/>
      <c r="F12" s="39"/>
      <c r="G12" s="39"/>
      <c r="H12" s="39"/>
      <c r="I12" s="40" t="str">
        <f t="shared" si="2"/>
        <v/>
      </c>
      <c r="J12" s="39"/>
      <c r="K12" s="41" t="str">
        <f t="shared" si="3"/>
        <v/>
      </c>
      <c r="L12" s="43" t="str">
        <f t="shared" si="4"/>
        <v/>
      </c>
      <c r="M12" s="43" t="str">
        <f t="shared" si="5"/>
        <v/>
      </c>
      <c r="N12" s="39"/>
      <c r="O12" s="39"/>
      <c r="P12" s="43" t="str">
        <f t="shared" si="6"/>
        <v/>
      </c>
      <c r="Q12" s="39"/>
      <c r="R12" s="43" t="str">
        <f t="shared" si="7"/>
        <v/>
      </c>
      <c r="S12" s="39"/>
      <c r="T12" s="41" t="str">
        <f t="shared" si="8"/>
        <v/>
      </c>
      <c r="U12" s="39"/>
      <c r="V12" s="44" t="str">
        <f t="shared" si="9"/>
        <v/>
      </c>
      <c r="W12" s="41" t="str">
        <f t="shared" si="10"/>
        <v/>
      </c>
      <c r="X12" s="38"/>
      <c r="Y12" s="38"/>
    </row>
    <row r="13" ht="21.0" customHeight="1">
      <c r="A13" s="35"/>
      <c r="B13" s="36" t="str">
        <f t="shared" si="1"/>
        <v/>
      </c>
      <c r="C13" s="38"/>
      <c r="D13" s="38"/>
      <c r="E13" s="38"/>
      <c r="F13" s="39"/>
      <c r="G13" s="39"/>
      <c r="H13" s="39"/>
      <c r="I13" s="40" t="str">
        <f t="shared" si="2"/>
        <v/>
      </c>
      <c r="J13" s="39"/>
      <c r="K13" s="41" t="str">
        <f t="shared" si="3"/>
        <v/>
      </c>
      <c r="L13" s="43" t="str">
        <f t="shared" si="4"/>
        <v/>
      </c>
      <c r="M13" s="43" t="str">
        <f t="shared" si="5"/>
        <v/>
      </c>
      <c r="N13" s="39"/>
      <c r="O13" s="39"/>
      <c r="P13" s="43" t="str">
        <f t="shared" si="6"/>
        <v/>
      </c>
      <c r="Q13" s="39"/>
      <c r="R13" s="43" t="str">
        <f t="shared" si="7"/>
        <v/>
      </c>
      <c r="S13" s="39"/>
      <c r="T13" s="41" t="str">
        <f t="shared" si="8"/>
        <v/>
      </c>
      <c r="U13" s="39"/>
      <c r="V13" s="44" t="str">
        <f t="shared" si="9"/>
        <v/>
      </c>
      <c r="W13" s="41" t="str">
        <f t="shared" si="10"/>
        <v/>
      </c>
      <c r="X13" s="38"/>
      <c r="Y13" s="38"/>
    </row>
    <row r="14" ht="21.0" customHeight="1">
      <c r="A14" s="35"/>
      <c r="B14" s="36" t="str">
        <f t="shared" si="1"/>
        <v/>
      </c>
      <c r="C14" s="38"/>
      <c r="D14" s="38"/>
      <c r="E14" s="38"/>
      <c r="F14" s="39"/>
      <c r="G14" s="39"/>
      <c r="H14" s="39"/>
      <c r="I14" s="40" t="str">
        <f t="shared" si="2"/>
        <v/>
      </c>
      <c r="J14" s="39"/>
      <c r="K14" s="41" t="str">
        <f t="shared" si="3"/>
        <v/>
      </c>
      <c r="L14" s="43" t="str">
        <f t="shared" si="4"/>
        <v/>
      </c>
      <c r="M14" s="43" t="str">
        <f t="shared" si="5"/>
        <v/>
      </c>
      <c r="N14" s="39"/>
      <c r="O14" s="39"/>
      <c r="P14" s="43" t="str">
        <f t="shared" si="6"/>
        <v/>
      </c>
      <c r="Q14" s="39"/>
      <c r="R14" s="43" t="str">
        <f t="shared" si="7"/>
        <v/>
      </c>
      <c r="S14" s="39"/>
      <c r="T14" s="41" t="str">
        <f t="shared" si="8"/>
        <v/>
      </c>
      <c r="U14" s="39"/>
      <c r="V14" s="44" t="str">
        <f t="shared" si="9"/>
        <v/>
      </c>
      <c r="W14" s="41" t="str">
        <f t="shared" si="10"/>
        <v/>
      </c>
      <c r="X14" s="38"/>
      <c r="Y14" s="38"/>
    </row>
    <row r="15" ht="21.0" customHeight="1">
      <c r="A15" s="35"/>
      <c r="B15" s="36" t="str">
        <f t="shared" si="1"/>
        <v/>
      </c>
      <c r="C15" s="38"/>
      <c r="D15" s="38"/>
      <c r="E15" s="38"/>
      <c r="F15" s="39"/>
      <c r="G15" s="39"/>
      <c r="H15" s="39"/>
      <c r="I15" s="40" t="str">
        <f t="shared" si="2"/>
        <v/>
      </c>
      <c r="J15" s="39"/>
      <c r="K15" s="41" t="str">
        <f t="shared" si="3"/>
        <v/>
      </c>
      <c r="L15" s="43" t="str">
        <f t="shared" si="4"/>
        <v/>
      </c>
      <c r="M15" s="43" t="str">
        <f t="shared" si="5"/>
        <v/>
      </c>
      <c r="N15" s="39"/>
      <c r="O15" s="39"/>
      <c r="P15" s="43" t="str">
        <f t="shared" si="6"/>
        <v/>
      </c>
      <c r="Q15" s="39"/>
      <c r="R15" s="43" t="str">
        <f t="shared" si="7"/>
        <v/>
      </c>
      <c r="S15" s="39"/>
      <c r="T15" s="41" t="str">
        <f t="shared" si="8"/>
        <v/>
      </c>
      <c r="U15" s="39"/>
      <c r="V15" s="44" t="str">
        <f t="shared" si="9"/>
        <v/>
      </c>
      <c r="W15" s="41" t="str">
        <f t="shared" si="10"/>
        <v/>
      </c>
      <c r="X15" s="38"/>
      <c r="Y15" s="38"/>
    </row>
    <row r="16" ht="21.0" customHeight="1">
      <c r="A16" s="35"/>
      <c r="B16" s="36" t="str">
        <f t="shared" si="1"/>
        <v/>
      </c>
      <c r="C16" s="38"/>
      <c r="D16" s="38"/>
      <c r="E16" s="38"/>
      <c r="F16" s="39"/>
      <c r="G16" s="39"/>
      <c r="H16" s="39"/>
      <c r="I16" s="40" t="str">
        <f t="shared" si="2"/>
        <v/>
      </c>
      <c r="J16" s="39"/>
      <c r="K16" s="41" t="str">
        <f t="shared" si="3"/>
        <v/>
      </c>
      <c r="L16" s="43" t="str">
        <f t="shared" si="4"/>
        <v/>
      </c>
      <c r="M16" s="43" t="str">
        <f t="shared" si="5"/>
        <v/>
      </c>
      <c r="N16" s="39"/>
      <c r="O16" s="39"/>
      <c r="P16" s="43" t="str">
        <f t="shared" si="6"/>
        <v/>
      </c>
      <c r="Q16" s="39"/>
      <c r="R16" s="43" t="str">
        <f t="shared" si="7"/>
        <v/>
      </c>
      <c r="S16" s="39"/>
      <c r="T16" s="41" t="str">
        <f t="shared" si="8"/>
        <v/>
      </c>
      <c r="U16" s="39"/>
      <c r="V16" s="44" t="str">
        <f t="shared" si="9"/>
        <v/>
      </c>
      <c r="W16" s="41" t="str">
        <f t="shared" si="10"/>
        <v/>
      </c>
      <c r="X16" s="38"/>
      <c r="Y16" s="38"/>
    </row>
    <row r="17" ht="21.0" customHeight="1">
      <c r="A17" s="35"/>
      <c r="B17" s="36" t="str">
        <f t="shared" si="1"/>
        <v/>
      </c>
      <c r="C17" s="38"/>
      <c r="D17" s="38"/>
      <c r="E17" s="38"/>
      <c r="F17" s="39"/>
      <c r="G17" s="39"/>
      <c r="H17" s="39"/>
      <c r="I17" s="40" t="str">
        <f t="shared" si="2"/>
        <v/>
      </c>
      <c r="J17" s="39"/>
      <c r="K17" s="41" t="str">
        <f t="shared" si="3"/>
        <v/>
      </c>
      <c r="L17" s="43" t="str">
        <f t="shared" si="4"/>
        <v/>
      </c>
      <c r="M17" s="43" t="str">
        <f t="shared" si="5"/>
        <v/>
      </c>
      <c r="N17" s="39"/>
      <c r="O17" s="39"/>
      <c r="P17" s="43" t="str">
        <f t="shared" si="6"/>
        <v/>
      </c>
      <c r="Q17" s="39"/>
      <c r="R17" s="43" t="str">
        <f t="shared" si="7"/>
        <v/>
      </c>
      <c r="S17" s="39"/>
      <c r="T17" s="41" t="str">
        <f t="shared" si="8"/>
        <v/>
      </c>
      <c r="U17" s="39"/>
      <c r="V17" s="44" t="str">
        <f t="shared" si="9"/>
        <v/>
      </c>
      <c r="W17" s="41" t="str">
        <f t="shared" si="10"/>
        <v/>
      </c>
      <c r="X17" s="38"/>
      <c r="Y17" s="38"/>
    </row>
    <row r="18" ht="21.0" customHeight="1">
      <c r="A18" s="35"/>
      <c r="B18" s="36" t="str">
        <f t="shared" si="1"/>
        <v/>
      </c>
      <c r="C18" s="38"/>
      <c r="D18" s="38"/>
      <c r="E18" s="38"/>
      <c r="F18" s="39"/>
      <c r="G18" s="39"/>
      <c r="H18" s="39"/>
      <c r="I18" s="40" t="str">
        <f t="shared" si="2"/>
        <v/>
      </c>
      <c r="J18" s="39"/>
      <c r="K18" s="41" t="str">
        <f t="shared" si="3"/>
        <v/>
      </c>
      <c r="L18" s="43" t="str">
        <f t="shared" si="4"/>
        <v/>
      </c>
      <c r="M18" s="43" t="str">
        <f t="shared" si="5"/>
        <v/>
      </c>
      <c r="N18" s="39"/>
      <c r="O18" s="39"/>
      <c r="P18" s="43" t="str">
        <f t="shared" si="6"/>
        <v/>
      </c>
      <c r="Q18" s="39"/>
      <c r="R18" s="43" t="str">
        <f t="shared" si="7"/>
        <v/>
      </c>
      <c r="S18" s="39"/>
      <c r="T18" s="41" t="str">
        <f t="shared" si="8"/>
        <v/>
      </c>
      <c r="U18" s="39"/>
      <c r="V18" s="44" t="str">
        <f t="shared" si="9"/>
        <v/>
      </c>
      <c r="W18" s="41" t="str">
        <f t="shared" si="10"/>
        <v/>
      </c>
      <c r="X18" s="38"/>
      <c r="Y18" s="38"/>
    </row>
    <row r="19" ht="21.0" customHeight="1">
      <c r="A19" s="35"/>
      <c r="B19" s="36" t="str">
        <f t="shared" si="1"/>
        <v/>
      </c>
      <c r="C19" s="38"/>
      <c r="D19" s="38"/>
      <c r="E19" s="38"/>
      <c r="F19" s="39"/>
      <c r="G19" s="39"/>
      <c r="H19" s="39"/>
      <c r="I19" s="40" t="str">
        <f t="shared" si="2"/>
        <v/>
      </c>
      <c r="J19" s="39"/>
      <c r="K19" s="41" t="str">
        <f t="shared" si="3"/>
        <v/>
      </c>
      <c r="L19" s="43" t="str">
        <f t="shared" si="4"/>
        <v/>
      </c>
      <c r="M19" s="43" t="str">
        <f t="shared" si="5"/>
        <v/>
      </c>
      <c r="N19" s="39"/>
      <c r="O19" s="39"/>
      <c r="P19" s="43" t="str">
        <f t="shared" si="6"/>
        <v/>
      </c>
      <c r="Q19" s="39"/>
      <c r="R19" s="43" t="str">
        <f t="shared" si="7"/>
        <v/>
      </c>
      <c r="S19" s="39"/>
      <c r="T19" s="41" t="str">
        <f t="shared" si="8"/>
        <v/>
      </c>
      <c r="U19" s="39"/>
      <c r="V19" s="44" t="str">
        <f t="shared" si="9"/>
        <v/>
      </c>
      <c r="W19" s="41" t="str">
        <f t="shared" si="10"/>
        <v/>
      </c>
      <c r="X19" s="38"/>
      <c r="Y19" s="38"/>
    </row>
    <row r="20" ht="21.0" customHeight="1">
      <c r="A20" s="35"/>
      <c r="B20" s="36" t="str">
        <f t="shared" si="1"/>
        <v/>
      </c>
      <c r="C20" s="38"/>
      <c r="D20" s="38"/>
      <c r="E20" s="38"/>
      <c r="F20" s="39"/>
      <c r="G20" s="39"/>
      <c r="H20" s="39"/>
      <c r="I20" s="40" t="str">
        <f t="shared" si="2"/>
        <v/>
      </c>
      <c r="J20" s="39"/>
      <c r="K20" s="41" t="str">
        <f t="shared" si="3"/>
        <v/>
      </c>
      <c r="L20" s="43" t="str">
        <f t="shared" si="4"/>
        <v/>
      </c>
      <c r="M20" s="43" t="str">
        <f t="shared" si="5"/>
        <v/>
      </c>
      <c r="N20" s="39"/>
      <c r="O20" s="39"/>
      <c r="P20" s="43" t="str">
        <f t="shared" si="6"/>
        <v/>
      </c>
      <c r="Q20" s="39"/>
      <c r="R20" s="43" t="str">
        <f t="shared" si="7"/>
        <v/>
      </c>
      <c r="S20" s="39"/>
      <c r="T20" s="41" t="str">
        <f t="shared" si="8"/>
        <v/>
      </c>
      <c r="U20" s="39"/>
      <c r="V20" s="44" t="str">
        <f t="shared" si="9"/>
        <v/>
      </c>
      <c r="W20" s="41" t="str">
        <f t="shared" si="10"/>
        <v/>
      </c>
      <c r="X20" s="38"/>
      <c r="Y20" s="38"/>
    </row>
    <row r="21" ht="21.0" customHeight="1">
      <c r="A21" s="35"/>
      <c r="B21" s="36" t="str">
        <f t="shared" si="1"/>
        <v/>
      </c>
      <c r="C21" s="38"/>
      <c r="D21" s="38"/>
      <c r="E21" s="38"/>
      <c r="F21" s="39"/>
      <c r="G21" s="39"/>
      <c r="H21" s="39"/>
      <c r="I21" s="40" t="str">
        <f t="shared" si="2"/>
        <v/>
      </c>
      <c r="J21" s="39"/>
      <c r="K21" s="41" t="str">
        <f t="shared" si="3"/>
        <v/>
      </c>
      <c r="L21" s="43" t="str">
        <f t="shared" si="4"/>
        <v/>
      </c>
      <c r="M21" s="43" t="str">
        <f t="shared" si="5"/>
        <v/>
      </c>
      <c r="N21" s="39"/>
      <c r="O21" s="39"/>
      <c r="P21" s="43" t="str">
        <f t="shared" si="6"/>
        <v/>
      </c>
      <c r="Q21" s="39"/>
      <c r="R21" s="43" t="str">
        <f t="shared" si="7"/>
        <v/>
      </c>
      <c r="S21" s="39"/>
      <c r="T21" s="41" t="str">
        <f t="shared" si="8"/>
        <v/>
      </c>
      <c r="U21" s="39"/>
      <c r="V21" s="44" t="str">
        <f t="shared" si="9"/>
        <v/>
      </c>
      <c r="W21" s="41" t="str">
        <f t="shared" si="10"/>
        <v/>
      </c>
      <c r="X21" s="38"/>
      <c r="Y21" s="38"/>
    </row>
    <row r="22" ht="21.0" customHeight="1">
      <c r="A22" s="35"/>
      <c r="B22" s="36" t="str">
        <f t="shared" si="1"/>
        <v/>
      </c>
      <c r="C22" s="38"/>
      <c r="D22" s="38"/>
      <c r="E22" s="38"/>
      <c r="F22" s="39"/>
      <c r="G22" s="39"/>
      <c r="H22" s="39"/>
      <c r="I22" s="40" t="str">
        <f t="shared" si="2"/>
        <v/>
      </c>
      <c r="J22" s="39"/>
      <c r="K22" s="41" t="str">
        <f t="shared" si="3"/>
        <v/>
      </c>
      <c r="L22" s="43" t="str">
        <f t="shared" si="4"/>
        <v/>
      </c>
      <c r="M22" s="43" t="str">
        <f t="shared" si="5"/>
        <v/>
      </c>
      <c r="N22" s="39"/>
      <c r="O22" s="39"/>
      <c r="P22" s="43" t="str">
        <f t="shared" si="6"/>
        <v/>
      </c>
      <c r="Q22" s="39"/>
      <c r="R22" s="43" t="str">
        <f t="shared" si="7"/>
        <v/>
      </c>
      <c r="S22" s="39"/>
      <c r="T22" s="41" t="str">
        <f t="shared" si="8"/>
        <v/>
      </c>
      <c r="U22" s="39"/>
      <c r="V22" s="44" t="str">
        <f t="shared" si="9"/>
        <v/>
      </c>
      <c r="W22" s="41" t="str">
        <f t="shared" si="10"/>
        <v/>
      </c>
      <c r="X22" s="38"/>
      <c r="Y22" s="38"/>
    </row>
    <row r="23" ht="21.0" customHeight="1">
      <c r="A23" s="35"/>
      <c r="B23" s="36" t="str">
        <f t="shared" si="1"/>
        <v/>
      </c>
      <c r="C23" s="38"/>
      <c r="D23" s="38"/>
      <c r="E23" s="38"/>
      <c r="F23" s="39"/>
      <c r="G23" s="39"/>
      <c r="H23" s="39"/>
      <c r="I23" s="40" t="str">
        <f t="shared" si="2"/>
        <v/>
      </c>
      <c r="J23" s="39"/>
      <c r="K23" s="41" t="str">
        <f t="shared" si="3"/>
        <v/>
      </c>
      <c r="L23" s="43" t="str">
        <f t="shared" si="4"/>
        <v/>
      </c>
      <c r="M23" s="43" t="str">
        <f t="shared" si="5"/>
        <v/>
      </c>
      <c r="N23" s="39"/>
      <c r="O23" s="39"/>
      <c r="P23" s="43" t="str">
        <f t="shared" si="6"/>
        <v/>
      </c>
      <c r="Q23" s="39"/>
      <c r="R23" s="43" t="str">
        <f t="shared" si="7"/>
        <v/>
      </c>
      <c r="S23" s="39"/>
      <c r="T23" s="41" t="str">
        <f t="shared" si="8"/>
        <v/>
      </c>
      <c r="U23" s="39"/>
      <c r="V23" s="44" t="str">
        <f t="shared" si="9"/>
        <v/>
      </c>
      <c r="W23" s="41" t="str">
        <f t="shared" si="10"/>
        <v/>
      </c>
      <c r="X23" s="38"/>
      <c r="Y23" s="38"/>
    </row>
    <row r="24" ht="21.0" customHeight="1">
      <c r="A24" s="35"/>
      <c r="B24" s="36" t="str">
        <f t="shared" si="1"/>
        <v/>
      </c>
      <c r="C24" s="38"/>
      <c r="D24" s="38"/>
      <c r="E24" s="38"/>
      <c r="F24" s="39"/>
      <c r="G24" s="39"/>
      <c r="H24" s="39"/>
      <c r="I24" s="40" t="str">
        <f t="shared" si="2"/>
        <v/>
      </c>
      <c r="J24" s="39"/>
      <c r="K24" s="41" t="str">
        <f t="shared" si="3"/>
        <v/>
      </c>
      <c r="L24" s="43" t="str">
        <f t="shared" si="4"/>
        <v/>
      </c>
      <c r="M24" s="43" t="str">
        <f t="shared" si="5"/>
        <v/>
      </c>
      <c r="N24" s="39"/>
      <c r="O24" s="39"/>
      <c r="P24" s="43" t="str">
        <f t="shared" si="6"/>
        <v/>
      </c>
      <c r="Q24" s="39"/>
      <c r="R24" s="43" t="str">
        <f t="shared" si="7"/>
        <v/>
      </c>
      <c r="S24" s="39"/>
      <c r="T24" s="41" t="str">
        <f t="shared" si="8"/>
        <v/>
      </c>
      <c r="U24" s="39"/>
      <c r="V24" s="44" t="str">
        <f t="shared" si="9"/>
        <v/>
      </c>
      <c r="W24" s="41" t="str">
        <f t="shared" si="10"/>
        <v/>
      </c>
      <c r="X24" s="38"/>
      <c r="Y24" s="38"/>
    </row>
    <row r="25" ht="21.0" customHeight="1">
      <c r="A25" s="35"/>
      <c r="B25" s="36" t="str">
        <f t="shared" si="1"/>
        <v/>
      </c>
      <c r="C25" s="38"/>
      <c r="D25" s="38"/>
      <c r="E25" s="38"/>
      <c r="F25" s="39"/>
      <c r="G25" s="39"/>
      <c r="H25" s="39"/>
      <c r="I25" s="40" t="str">
        <f t="shared" si="2"/>
        <v/>
      </c>
      <c r="J25" s="39"/>
      <c r="K25" s="41" t="str">
        <f t="shared" si="3"/>
        <v/>
      </c>
      <c r="L25" s="43" t="str">
        <f t="shared" si="4"/>
        <v/>
      </c>
      <c r="M25" s="43" t="str">
        <f t="shared" si="5"/>
        <v/>
      </c>
      <c r="N25" s="39"/>
      <c r="O25" s="39"/>
      <c r="P25" s="43" t="str">
        <f t="shared" si="6"/>
        <v/>
      </c>
      <c r="Q25" s="39"/>
      <c r="R25" s="43" t="str">
        <f t="shared" si="7"/>
        <v/>
      </c>
      <c r="S25" s="39"/>
      <c r="T25" s="41" t="str">
        <f t="shared" si="8"/>
        <v/>
      </c>
      <c r="U25" s="39"/>
      <c r="V25" s="44" t="str">
        <f t="shared" si="9"/>
        <v/>
      </c>
      <c r="W25" s="41" t="str">
        <f t="shared" si="10"/>
        <v/>
      </c>
      <c r="X25" s="38"/>
      <c r="Y25" s="38"/>
    </row>
    <row r="26" ht="21.0" customHeight="1">
      <c r="A26" s="35"/>
      <c r="B26" s="36" t="str">
        <f t="shared" si="1"/>
        <v/>
      </c>
      <c r="C26" s="38"/>
      <c r="D26" s="38"/>
      <c r="E26" s="38"/>
      <c r="F26" s="39"/>
      <c r="G26" s="39"/>
      <c r="H26" s="39"/>
      <c r="I26" s="40" t="str">
        <f t="shared" si="2"/>
        <v/>
      </c>
      <c r="J26" s="39"/>
      <c r="K26" s="41" t="str">
        <f t="shared" si="3"/>
        <v/>
      </c>
      <c r="L26" s="43" t="str">
        <f t="shared" si="4"/>
        <v/>
      </c>
      <c r="M26" s="43" t="str">
        <f t="shared" si="5"/>
        <v/>
      </c>
      <c r="N26" s="39"/>
      <c r="O26" s="39"/>
      <c r="P26" s="43" t="str">
        <f t="shared" si="6"/>
        <v/>
      </c>
      <c r="Q26" s="39"/>
      <c r="R26" s="43" t="str">
        <f t="shared" si="7"/>
        <v/>
      </c>
      <c r="S26" s="39"/>
      <c r="T26" s="41" t="str">
        <f t="shared" si="8"/>
        <v/>
      </c>
      <c r="U26" s="39"/>
      <c r="V26" s="44" t="str">
        <f t="shared" si="9"/>
        <v/>
      </c>
      <c r="W26" s="41" t="str">
        <f t="shared" si="10"/>
        <v/>
      </c>
      <c r="X26" s="38"/>
      <c r="Y26" s="38"/>
    </row>
    <row r="27" ht="21.0" customHeight="1">
      <c r="A27" s="35"/>
      <c r="B27" s="36" t="str">
        <f t="shared" si="1"/>
        <v/>
      </c>
      <c r="C27" s="38"/>
      <c r="D27" s="38"/>
      <c r="E27" s="38"/>
      <c r="F27" s="39"/>
      <c r="G27" s="39"/>
      <c r="H27" s="39"/>
      <c r="I27" s="40" t="str">
        <f t="shared" si="2"/>
        <v/>
      </c>
      <c r="J27" s="39"/>
      <c r="K27" s="41" t="str">
        <f t="shared" si="3"/>
        <v/>
      </c>
      <c r="L27" s="43" t="str">
        <f t="shared" si="4"/>
        <v/>
      </c>
      <c r="M27" s="43" t="str">
        <f t="shared" si="5"/>
        <v/>
      </c>
      <c r="N27" s="39"/>
      <c r="O27" s="39"/>
      <c r="P27" s="43" t="str">
        <f t="shared" si="6"/>
        <v/>
      </c>
      <c r="Q27" s="39"/>
      <c r="R27" s="43" t="str">
        <f t="shared" si="7"/>
        <v/>
      </c>
      <c r="S27" s="39"/>
      <c r="T27" s="41" t="str">
        <f t="shared" si="8"/>
        <v/>
      </c>
      <c r="U27" s="39"/>
      <c r="V27" s="44" t="str">
        <f t="shared" si="9"/>
        <v/>
      </c>
      <c r="W27" s="41" t="str">
        <f t="shared" si="10"/>
        <v/>
      </c>
      <c r="X27" s="38"/>
      <c r="Y27" s="38"/>
    </row>
    <row r="28" ht="21.0" customHeight="1">
      <c r="A28" s="35"/>
      <c r="B28" s="36" t="str">
        <f t="shared" si="1"/>
        <v/>
      </c>
      <c r="C28" s="38"/>
      <c r="D28" s="38"/>
      <c r="E28" s="38"/>
      <c r="F28" s="39"/>
      <c r="G28" s="39"/>
      <c r="H28" s="39"/>
      <c r="I28" s="40" t="str">
        <f t="shared" si="2"/>
        <v/>
      </c>
      <c r="J28" s="39"/>
      <c r="K28" s="41" t="str">
        <f t="shared" si="3"/>
        <v/>
      </c>
      <c r="L28" s="43" t="str">
        <f t="shared" si="4"/>
        <v/>
      </c>
      <c r="M28" s="43" t="str">
        <f t="shared" si="5"/>
        <v/>
      </c>
      <c r="N28" s="39"/>
      <c r="O28" s="39"/>
      <c r="P28" s="43" t="str">
        <f t="shared" si="6"/>
        <v/>
      </c>
      <c r="Q28" s="39"/>
      <c r="R28" s="43" t="str">
        <f t="shared" si="7"/>
        <v/>
      </c>
      <c r="S28" s="39"/>
      <c r="T28" s="41" t="str">
        <f t="shared" si="8"/>
        <v/>
      </c>
      <c r="U28" s="39"/>
      <c r="V28" s="44" t="str">
        <f t="shared" si="9"/>
        <v/>
      </c>
      <c r="W28" s="41" t="str">
        <f t="shared" si="10"/>
        <v/>
      </c>
      <c r="X28" s="38"/>
      <c r="Y28" s="38"/>
    </row>
    <row r="29" ht="21.0" customHeight="1">
      <c r="A29" s="35"/>
      <c r="B29" s="36" t="str">
        <f t="shared" si="1"/>
        <v/>
      </c>
      <c r="C29" s="38"/>
      <c r="D29" s="38"/>
      <c r="E29" s="38"/>
      <c r="F29" s="39"/>
      <c r="G29" s="39"/>
      <c r="H29" s="39"/>
      <c r="I29" s="40" t="str">
        <f t="shared" si="2"/>
        <v/>
      </c>
      <c r="J29" s="39"/>
      <c r="K29" s="41" t="str">
        <f t="shared" si="3"/>
        <v/>
      </c>
      <c r="L29" s="43" t="str">
        <f t="shared" si="4"/>
        <v/>
      </c>
      <c r="M29" s="43" t="str">
        <f t="shared" si="5"/>
        <v/>
      </c>
      <c r="N29" s="39"/>
      <c r="O29" s="39"/>
      <c r="P29" s="43" t="str">
        <f t="shared" si="6"/>
        <v/>
      </c>
      <c r="Q29" s="39"/>
      <c r="R29" s="43" t="str">
        <f t="shared" si="7"/>
        <v/>
      </c>
      <c r="S29" s="39"/>
      <c r="T29" s="41" t="str">
        <f t="shared" si="8"/>
        <v/>
      </c>
      <c r="U29" s="39"/>
      <c r="V29" s="44" t="str">
        <f t="shared" si="9"/>
        <v/>
      </c>
      <c r="W29" s="41" t="str">
        <f t="shared" si="10"/>
        <v/>
      </c>
      <c r="X29" s="38"/>
      <c r="Y29" s="38"/>
    </row>
    <row r="30" ht="21.0" customHeight="1">
      <c r="A30" s="35"/>
      <c r="B30" s="36" t="str">
        <f t="shared" si="1"/>
        <v/>
      </c>
      <c r="C30" s="38"/>
      <c r="D30" s="38"/>
      <c r="E30" s="38"/>
      <c r="F30" s="39"/>
      <c r="G30" s="39"/>
      <c r="H30" s="39"/>
      <c r="I30" s="40" t="str">
        <f t="shared" si="2"/>
        <v/>
      </c>
      <c r="J30" s="39"/>
      <c r="K30" s="41" t="str">
        <f t="shared" si="3"/>
        <v/>
      </c>
      <c r="L30" s="43" t="str">
        <f t="shared" si="4"/>
        <v/>
      </c>
      <c r="M30" s="43" t="str">
        <f t="shared" si="5"/>
        <v/>
      </c>
      <c r="N30" s="39"/>
      <c r="O30" s="39"/>
      <c r="P30" s="43" t="str">
        <f t="shared" si="6"/>
        <v/>
      </c>
      <c r="Q30" s="39"/>
      <c r="R30" s="43" t="str">
        <f t="shared" si="7"/>
        <v/>
      </c>
      <c r="S30" s="39"/>
      <c r="T30" s="41" t="str">
        <f t="shared" si="8"/>
        <v/>
      </c>
      <c r="U30" s="39"/>
      <c r="V30" s="44" t="str">
        <f t="shared" si="9"/>
        <v/>
      </c>
      <c r="W30" s="41" t="str">
        <f t="shared" si="10"/>
        <v/>
      </c>
      <c r="X30" s="38"/>
      <c r="Y30" s="38"/>
    </row>
    <row r="31" ht="21.0" customHeight="1">
      <c r="A31" s="35"/>
      <c r="B31" s="36" t="str">
        <f t="shared" si="1"/>
        <v/>
      </c>
      <c r="C31" s="38"/>
      <c r="D31" s="38"/>
      <c r="E31" s="38"/>
      <c r="F31" s="39"/>
      <c r="G31" s="39"/>
      <c r="H31" s="39"/>
      <c r="I31" s="40" t="str">
        <f t="shared" si="2"/>
        <v/>
      </c>
      <c r="J31" s="39"/>
      <c r="K31" s="41" t="str">
        <f t="shared" si="3"/>
        <v/>
      </c>
      <c r="L31" s="43" t="str">
        <f t="shared" si="4"/>
        <v/>
      </c>
      <c r="M31" s="43" t="str">
        <f t="shared" si="5"/>
        <v/>
      </c>
      <c r="N31" s="39"/>
      <c r="O31" s="39"/>
      <c r="P31" s="43" t="str">
        <f t="shared" si="6"/>
        <v/>
      </c>
      <c r="Q31" s="39"/>
      <c r="R31" s="43" t="str">
        <f t="shared" si="7"/>
        <v/>
      </c>
      <c r="S31" s="39"/>
      <c r="T31" s="41" t="str">
        <f t="shared" si="8"/>
        <v/>
      </c>
      <c r="U31" s="39"/>
      <c r="V31" s="44" t="str">
        <f t="shared" si="9"/>
        <v/>
      </c>
      <c r="W31" s="41" t="str">
        <f t="shared" si="10"/>
        <v/>
      </c>
      <c r="X31" s="38"/>
      <c r="Y31" s="38"/>
    </row>
    <row r="32" ht="21.0" customHeight="1">
      <c r="A32" s="35"/>
      <c r="B32" s="36" t="str">
        <f t="shared" si="1"/>
        <v/>
      </c>
      <c r="C32" s="38"/>
      <c r="D32" s="38"/>
      <c r="E32" s="38"/>
      <c r="F32" s="39"/>
      <c r="G32" s="39"/>
      <c r="H32" s="39"/>
      <c r="I32" s="40" t="str">
        <f t="shared" si="2"/>
        <v/>
      </c>
      <c r="J32" s="39"/>
      <c r="K32" s="41" t="str">
        <f t="shared" si="3"/>
        <v/>
      </c>
      <c r="L32" s="43" t="str">
        <f t="shared" si="4"/>
        <v/>
      </c>
      <c r="M32" s="43" t="str">
        <f t="shared" si="5"/>
        <v/>
      </c>
      <c r="N32" s="39"/>
      <c r="O32" s="39"/>
      <c r="P32" s="43" t="str">
        <f t="shared" si="6"/>
        <v/>
      </c>
      <c r="Q32" s="39"/>
      <c r="R32" s="43" t="str">
        <f t="shared" si="7"/>
        <v/>
      </c>
      <c r="S32" s="39"/>
      <c r="T32" s="41" t="str">
        <f t="shared" si="8"/>
        <v/>
      </c>
      <c r="U32" s="39"/>
      <c r="V32" s="44" t="str">
        <f t="shared" si="9"/>
        <v/>
      </c>
      <c r="W32" s="41" t="str">
        <f t="shared" si="10"/>
        <v/>
      </c>
      <c r="X32" s="38"/>
      <c r="Y32" s="38"/>
    </row>
    <row r="33" ht="21.0" customHeight="1">
      <c r="A33" s="35"/>
      <c r="B33" s="36" t="str">
        <f t="shared" si="1"/>
        <v/>
      </c>
      <c r="C33" s="38"/>
      <c r="D33" s="38"/>
      <c r="E33" s="38"/>
      <c r="F33" s="39"/>
      <c r="G33" s="39"/>
      <c r="H33" s="39"/>
      <c r="I33" s="40" t="str">
        <f t="shared" si="2"/>
        <v/>
      </c>
      <c r="J33" s="39"/>
      <c r="K33" s="41" t="str">
        <f t="shared" si="3"/>
        <v/>
      </c>
      <c r="L33" s="43" t="str">
        <f t="shared" si="4"/>
        <v/>
      </c>
      <c r="M33" s="43" t="str">
        <f t="shared" si="5"/>
        <v/>
      </c>
      <c r="N33" s="39"/>
      <c r="O33" s="39"/>
      <c r="P33" s="43" t="str">
        <f t="shared" si="6"/>
        <v/>
      </c>
      <c r="Q33" s="39"/>
      <c r="R33" s="43" t="str">
        <f t="shared" si="7"/>
        <v/>
      </c>
      <c r="S33" s="39"/>
      <c r="T33" s="41" t="str">
        <f t="shared" si="8"/>
        <v/>
      </c>
      <c r="U33" s="39"/>
      <c r="V33" s="44" t="str">
        <f t="shared" si="9"/>
        <v/>
      </c>
      <c r="W33" s="41" t="str">
        <f t="shared" si="10"/>
        <v/>
      </c>
      <c r="X33" s="38"/>
      <c r="Y33" s="38"/>
    </row>
    <row r="34" ht="21.0" customHeight="1">
      <c r="A34" s="35"/>
      <c r="B34" s="36" t="str">
        <f t="shared" si="1"/>
        <v/>
      </c>
      <c r="C34" s="38"/>
      <c r="D34" s="38"/>
      <c r="E34" s="38"/>
      <c r="F34" s="39"/>
      <c r="G34" s="39"/>
      <c r="H34" s="39"/>
      <c r="I34" s="40" t="str">
        <f t="shared" si="2"/>
        <v/>
      </c>
      <c r="J34" s="39"/>
      <c r="K34" s="41" t="str">
        <f t="shared" si="3"/>
        <v/>
      </c>
      <c r="L34" s="43" t="str">
        <f t="shared" si="4"/>
        <v/>
      </c>
      <c r="M34" s="43" t="str">
        <f t="shared" si="5"/>
        <v/>
      </c>
      <c r="N34" s="39"/>
      <c r="O34" s="39"/>
      <c r="P34" s="43" t="str">
        <f t="shared" si="6"/>
        <v/>
      </c>
      <c r="Q34" s="39"/>
      <c r="R34" s="43" t="str">
        <f t="shared" si="7"/>
        <v/>
      </c>
      <c r="S34" s="39"/>
      <c r="T34" s="41" t="str">
        <f t="shared" si="8"/>
        <v/>
      </c>
      <c r="U34" s="39"/>
      <c r="V34" s="44" t="str">
        <f t="shared" si="9"/>
        <v/>
      </c>
      <c r="W34" s="41" t="str">
        <f t="shared" si="10"/>
        <v/>
      </c>
      <c r="X34" s="38"/>
      <c r="Y34" s="38"/>
    </row>
    <row r="35" ht="21.0" customHeight="1">
      <c r="A35" s="35"/>
      <c r="B35" s="36" t="str">
        <f t="shared" si="1"/>
        <v/>
      </c>
      <c r="C35" s="38"/>
      <c r="D35" s="38"/>
      <c r="E35" s="38"/>
      <c r="F35" s="39"/>
      <c r="G35" s="39"/>
      <c r="H35" s="39"/>
      <c r="I35" s="40" t="str">
        <f t="shared" si="2"/>
        <v/>
      </c>
      <c r="J35" s="39"/>
      <c r="K35" s="41" t="str">
        <f t="shared" si="3"/>
        <v/>
      </c>
      <c r="L35" s="43" t="str">
        <f t="shared" si="4"/>
        <v/>
      </c>
      <c r="M35" s="43" t="str">
        <f t="shared" si="5"/>
        <v/>
      </c>
      <c r="N35" s="39"/>
      <c r="O35" s="39"/>
      <c r="P35" s="43" t="str">
        <f t="shared" si="6"/>
        <v/>
      </c>
      <c r="Q35" s="39"/>
      <c r="R35" s="43" t="str">
        <f t="shared" si="7"/>
        <v/>
      </c>
      <c r="S35" s="39"/>
      <c r="T35" s="41" t="str">
        <f t="shared" si="8"/>
        <v/>
      </c>
      <c r="U35" s="39"/>
      <c r="V35" s="44" t="str">
        <f t="shared" si="9"/>
        <v/>
      </c>
      <c r="W35" s="41" t="str">
        <f t="shared" si="10"/>
        <v/>
      </c>
      <c r="X35" s="38"/>
      <c r="Y35" s="38"/>
    </row>
    <row r="36" ht="21.0" customHeight="1">
      <c r="A36" s="35"/>
      <c r="B36" s="36" t="str">
        <f t="shared" si="1"/>
        <v/>
      </c>
      <c r="C36" s="38"/>
      <c r="D36" s="38"/>
      <c r="E36" s="38"/>
      <c r="F36" s="39"/>
      <c r="G36" s="39"/>
      <c r="H36" s="39"/>
      <c r="I36" s="40" t="str">
        <f t="shared" si="2"/>
        <v/>
      </c>
      <c r="J36" s="39"/>
      <c r="K36" s="41" t="str">
        <f t="shared" si="3"/>
        <v/>
      </c>
      <c r="L36" s="43" t="str">
        <f t="shared" si="4"/>
        <v/>
      </c>
      <c r="M36" s="43" t="str">
        <f t="shared" si="5"/>
        <v/>
      </c>
      <c r="N36" s="39"/>
      <c r="O36" s="39"/>
      <c r="P36" s="43" t="str">
        <f t="shared" si="6"/>
        <v/>
      </c>
      <c r="Q36" s="39"/>
      <c r="R36" s="43" t="str">
        <f t="shared" si="7"/>
        <v/>
      </c>
      <c r="S36" s="39"/>
      <c r="T36" s="41" t="str">
        <f t="shared" si="8"/>
        <v/>
      </c>
      <c r="U36" s="39"/>
      <c r="V36" s="44" t="str">
        <f t="shared" si="9"/>
        <v/>
      </c>
      <c r="W36" s="41" t="str">
        <f t="shared" si="10"/>
        <v/>
      </c>
      <c r="X36" s="38"/>
      <c r="Y36" s="38"/>
    </row>
    <row r="37" ht="21.0" customHeight="1">
      <c r="A37" s="35"/>
      <c r="B37" s="36" t="str">
        <f t="shared" si="1"/>
        <v/>
      </c>
      <c r="C37" s="38"/>
      <c r="D37" s="38"/>
      <c r="E37" s="38"/>
      <c r="F37" s="39"/>
      <c r="G37" s="39"/>
      <c r="H37" s="39"/>
      <c r="I37" s="40" t="str">
        <f t="shared" si="2"/>
        <v/>
      </c>
      <c r="J37" s="39"/>
      <c r="K37" s="41" t="str">
        <f t="shared" si="3"/>
        <v/>
      </c>
      <c r="L37" s="43" t="str">
        <f t="shared" si="4"/>
        <v/>
      </c>
      <c r="M37" s="43" t="str">
        <f t="shared" si="5"/>
        <v/>
      </c>
      <c r="N37" s="39"/>
      <c r="O37" s="39"/>
      <c r="P37" s="43" t="str">
        <f t="shared" si="6"/>
        <v/>
      </c>
      <c r="Q37" s="39"/>
      <c r="R37" s="43" t="str">
        <f t="shared" si="7"/>
        <v/>
      </c>
      <c r="S37" s="39"/>
      <c r="T37" s="41" t="str">
        <f t="shared" si="8"/>
        <v/>
      </c>
      <c r="U37" s="39"/>
      <c r="V37" s="44" t="str">
        <f t="shared" si="9"/>
        <v/>
      </c>
      <c r="W37" s="41" t="str">
        <f t="shared" si="10"/>
        <v/>
      </c>
      <c r="X37" s="38"/>
      <c r="Y37" s="38"/>
    </row>
    <row r="38" ht="21.0" customHeight="1">
      <c r="A38" s="35"/>
      <c r="B38" s="36" t="str">
        <f t="shared" si="1"/>
        <v/>
      </c>
      <c r="C38" s="38"/>
      <c r="D38" s="38"/>
      <c r="E38" s="38"/>
      <c r="F38" s="39"/>
      <c r="G38" s="39"/>
      <c r="H38" s="39"/>
      <c r="I38" s="40" t="str">
        <f t="shared" si="2"/>
        <v/>
      </c>
      <c r="J38" s="39"/>
      <c r="K38" s="41" t="str">
        <f t="shared" si="3"/>
        <v/>
      </c>
      <c r="L38" s="43" t="str">
        <f t="shared" si="4"/>
        <v/>
      </c>
      <c r="M38" s="43" t="str">
        <f t="shared" si="5"/>
        <v/>
      </c>
      <c r="N38" s="39"/>
      <c r="O38" s="39"/>
      <c r="P38" s="43" t="str">
        <f t="shared" si="6"/>
        <v/>
      </c>
      <c r="Q38" s="39"/>
      <c r="R38" s="43" t="str">
        <f t="shared" si="7"/>
        <v/>
      </c>
      <c r="S38" s="39"/>
      <c r="T38" s="41" t="str">
        <f t="shared" si="8"/>
        <v/>
      </c>
      <c r="U38" s="39"/>
      <c r="V38" s="44" t="str">
        <f t="shared" si="9"/>
        <v/>
      </c>
      <c r="W38" s="41" t="str">
        <f t="shared" si="10"/>
        <v/>
      </c>
      <c r="X38" s="38"/>
      <c r="Y38" s="38"/>
    </row>
    <row r="39" ht="21.0" customHeight="1">
      <c r="A39" s="35"/>
      <c r="B39" s="36" t="str">
        <f t="shared" si="1"/>
        <v/>
      </c>
      <c r="C39" s="38"/>
      <c r="D39" s="38"/>
      <c r="E39" s="38"/>
      <c r="F39" s="39"/>
      <c r="G39" s="39"/>
      <c r="H39" s="39"/>
      <c r="I39" s="40" t="str">
        <f t="shared" si="2"/>
        <v/>
      </c>
      <c r="J39" s="39"/>
      <c r="K39" s="41" t="str">
        <f t="shared" si="3"/>
        <v/>
      </c>
      <c r="L39" s="43" t="str">
        <f t="shared" si="4"/>
        <v/>
      </c>
      <c r="M39" s="43" t="str">
        <f t="shared" si="5"/>
        <v/>
      </c>
      <c r="N39" s="39"/>
      <c r="O39" s="39"/>
      <c r="P39" s="43" t="str">
        <f t="shared" si="6"/>
        <v/>
      </c>
      <c r="Q39" s="39"/>
      <c r="R39" s="43" t="str">
        <f t="shared" si="7"/>
        <v/>
      </c>
      <c r="S39" s="39"/>
      <c r="T39" s="41" t="str">
        <f t="shared" si="8"/>
        <v/>
      </c>
      <c r="U39" s="39"/>
      <c r="V39" s="44" t="str">
        <f t="shared" si="9"/>
        <v/>
      </c>
      <c r="W39" s="41" t="str">
        <f t="shared" si="10"/>
        <v/>
      </c>
      <c r="X39" s="38"/>
      <c r="Y39" s="38"/>
    </row>
    <row r="40" ht="21.0" customHeight="1">
      <c r="A40" s="35"/>
      <c r="B40" s="36" t="str">
        <f t="shared" si="1"/>
        <v/>
      </c>
      <c r="C40" s="38"/>
      <c r="D40" s="38"/>
      <c r="E40" s="38"/>
      <c r="F40" s="39"/>
      <c r="G40" s="39"/>
      <c r="H40" s="39"/>
      <c r="I40" s="40" t="str">
        <f t="shared" si="2"/>
        <v/>
      </c>
      <c r="J40" s="39"/>
      <c r="K40" s="41" t="str">
        <f t="shared" si="3"/>
        <v/>
      </c>
      <c r="L40" s="43" t="str">
        <f t="shared" si="4"/>
        <v/>
      </c>
      <c r="M40" s="43" t="str">
        <f t="shared" si="5"/>
        <v/>
      </c>
      <c r="N40" s="39"/>
      <c r="O40" s="39"/>
      <c r="P40" s="43" t="str">
        <f t="shared" si="6"/>
        <v/>
      </c>
      <c r="Q40" s="39"/>
      <c r="R40" s="43" t="str">
        <f t="shared" si="7"/>
        <v/>
      </c>
      <c r="S40" s="39"/>
      <c r="T40" s="41" t="str">
        <f t="shared" si="8"/>
        <v/>
      </c>
      <c r="U40" s="39"/>
      <c r="V40" s="44" t="str">
        <f t="shared" si="9"/>
        <v/>
      </c>
      <c r="W40" s="41" t="str">
        <f t="shared" si="10"/>
        <v/>
      </c>
      <c r="X40" s="38"/>
      <c r="Y40" s="38"/>
    </row>
    <row r="41" ht="21.0" customHeight="1">
      <c r="A41" s="35"/>
      <c r="B41" s="36" t="str">
        <f t="shared" si="1"/>
        <v/>
      </c>
      <c r="C41" s="38"/>
      <c r="D41" s="38"/>
      <c r="E41" s="38"/>
      <c r="F41" s="39"/>
      <c r="G41" s="39"/>
      <c r="H41" s="39"/>
      <c r="I41" s="40" t="str">
        <f t="shared" si="2"/>
        <v/>
      </c>
      <c r="J41" s="39"/>
      <c r="K41" s="41" t="str">
        <f t="shared" si="3"/>
        <v/>
      </c>
      <c r="L41" s="43" t="str">
        <f t="shared" si="4"/>
        <v/>
      </c>
      <c r="M41" s="43" t="str">
        <f t="shared" si="5"/>
        <v/>
      </c>
      <c r="N41" s="39"/>
      <c r="O41" s="39"/>
      <c r="P41" s="43" t="str">
        <f t="shared" si="6"/>
        <v/>
      </c>
      <c r="Q41" s="39"/>
      <c r="R41" s="43" t="str">
        <f t="shared" si="7"/>
        <v/>
      </c>
      <c r="S41" s="39"/>
      <c r="T41" s="41" t="str">
        <f t="shared" si="8"/>
        <v/>
      </c>
      <c r="U41" s="39"/>
      <c r="V41" s="44" t="str">
        <f t="shared" si="9"/>
        <v/>
      </c>
      <c r="W41" s="41" t="str">
        <f t="shared" si="10"/>
        <v/>
      </c>
      <c r="X41" s="38"/>
      <c r="Y41" s="38"/>
    </row>
    <row r="42" ht="21.0" customHeight="1">
      <c r="A42" s="35"/>
      <c r="B42" s="36" t="str">
        <f t="shared" si="1"/>
        <v/>
      </c>
      <c r="C42" s="38"/>
      <c r="D42" s="38"/>
      <c r="E42" s="38"/>
      <c r="F42" s="39"/>
      <c r="G42" s="39"/>
      <c r="H42" s="39"/>
      <c r="I42" s="40" t="str">
        <f t="shared" si="2"/>
        <v/>
      </c>
      <c r="J42" s="39"/>
      <c r="K42" s="41" t="str">
        <f t="shared" si="3"/>
        <v/>
      </c>
      <c r="L42" s="43" t="str">
        <f t="shared" si="4"/>
        <v/>
      </c>
      <c r="M42" s="43" t="str">
        <f t="shared" si="5"/>
        <v/>
      </c>
      <c r="N42" s="39"/>
      <c r="O42" s="39"/>
      <c r="P42" s="43" t="str">
        <f t="shared" si="6"/>
        <v/>
      </c>
      <c r="Q42" s="39"/>
      <c r="R42" s="43" t="str">
        <f t="shared" si="7"/>
        <v/>
      </c>
      <c r="S42" s="39"/>
      <c r="T42" s="41" t="str">
        <f t="shared" si="8"/>
        <v/>
      </c>
      <c r="U42" s="39"/>
      <c r="V42" s="44" t="str">
        <f t="shared" si="9"/>
        <v/>
      </c>
      <c r="W42" s="41" t="str">
        <f t="shared" si="10"/>
        <v/>
      </c>
      <c r="X42" s="38"/>
      <c r="Y42" s="38"/>
    </row>
    <row r="43" ht="21.0" customHeight="1">
      <c r="A43" s="35"/>
      <c r="B43" s="36" t="str">
        <f t="shared" si="1"/>
        <v/>
      </c>
      <c r="C43" s="38"/>
      <c r="D43" s="38"/>
      <c r="E43" s="38"/>
      <c r="F43" s="39"/>
      <c r="G43" s="39"/>
      <c r="H43" s="39"/>
      <c r="I43" s="40" t="str">
        <f t="shared" si="2"/>
        <v/>
      </c>
      <c r="J43" s="39"/>
      <c r="K43" s="41" t="str">
        <f t="shared" si="3"/>
        <v/>
      </c>
      <c r="L43" s="43" t="str">
        <f t="shared" si="4"/>
        <v/>
      </c>
      <c r="M43" s="43" t="str">
        <f t="shared" si="5"/>
        <v/>
      </c>
      <c r="N43" s="39"/>
      <c r="O43" s="39"/>
      <c r="P43" s="43" t="str">
        <f t="shared" si="6"/>
        <v/>
      </c>
      <c r="Q43" s="39"/>
      <c r="R43" s="43" t="str">
        <f t="shared" si="7"/>
        <v/>
      </c>
      <c r="S43" s="39"/>
      <c r="T43" s="41" t="str">
        <f t="shared" si="8"/>
        <v/>
      </c>
      <c r="U43" s="39"/>
      <c r="V43" s="44" t="str">
        <f t="shared" si="9"/>
        <v/>
      </c>
      <c r="W43" s="41" t="str">
        <f t="shared" si="10"/>
        <v/>
      </c>
      <c r="X43" s="38"/>
      <c r="Y43" s="38"/>
    </row>
    <row r="44" ht="21.0" customHeight="1">
      <c r="A44" s="35"/>
      <c r="B44" s="36" t="str">
        <f t="shared" si="1"/>
        <v/>
      </c>
      <c r="C44" s="38"/>
      <c r="D44" s="38"/>
      <c r="E44" s="38"/>
      <c r="F44" s="39"/>
      <c r="G44" s="39"/>
      <c r="H44" s="39"/>
      <c r="I44" s="40" t="str">
        <f t="shared" si="2"/>
        <v/>
      </c>
      <c r="J44" s="39"/>
      <c r="K44" s="41" t="str">
        <f t="shared" si="3"/>
        <v/>
      </c>
      <c r="L44" s="43" t="str">
        <f t="shared" si="4"/>
        <v/>
      </c>
      <c r="M44" s="43" t="str">
        <f t="shared" si="5"/>
        <v/>
      </c>
      <c r="N44" s="39"/>
      <c r="O44" s="39"/>
      <c r="P44" s="43" t="str">
        <f t="shared" si="6"/>
        <v/>
      </c>
      <c r="Q44" s="39"/>
      <c r="R44" s="43" t="str">
        <f t="shared" si="7"/>
        <v/>
      </c>
      <c r="S44" s="39"/>
      <c r="T44" s="41" t="str">
        <f t="shared" si="8"/>
        <v/>
      </c>
      <c r="U44" s="39"/>
      <c r="V44" s="44" t="str">
        <f t="shared" si="9"/>
        <v/>
      </c>
      <c r="W44" s="41" t="str">
        <f t="shared" si="10"/>
        <v/>
      </c>
      <c r="X44" s="38"/>
      <c r="Y44" s="38"/>
    </row>
    <row r="45" ht="21.0" customHeight="1">
      <c r="A45" s="35"/>
      <c r="B45" s="36" t="str">
        <f t="shared" si="1"/>
        <v/>
      </c>
      <c r="C45" s="38"/>
      <c r="D45" s="38"/>
      <c r="E45" s="38"/>
      <c r="F45" s="39"/>
      <c r="G45" s="39"/>
      <c r="H45" s="39"/>
      <c r="I45" s="40" t="str">
        <f t="shared" si="2"/>
        <v/>
      </c>
      <c r="J45" s="39"/>
      <c r="K45" s="41" t="str">
        <f t="shared" si="3"/>
        <v/>
      </c>
      <c r="L45" s="43" t="str">
        <f t="shared" si="4"/>
        <v/>
      </c>
      <c r="M45" s="43" t="str">
        <f t="shared" si="5"/>
        <v/>
      </c>
      <c r="N45" s="39"/>
      <c r="O45" s="39"/>
      <c r="P45" s="43" t="str">
        <f t="shared" si="6"/>
        <v/>
      </c>
      <c r="Q45" s="39"/>
      <c r="R45" s="43" t="str">
        <f t="shared" si="7"/>
        <v/>
      </c>
      <c r="S45" s="39"/>
      <c r="T45" s="41" t="str">
        <f t="shared" si="8"/>
        <v/>
      </c>
      <c r="U45" s="39"/>
      <c r="V45" s="44" t="str">
        <f t="shared" si="9"/>
        <v/>
      </c>
      <c r="W45" s="41" t="str">
        <f t="shared" si="10"/>
        <v/>
      </c>
      <c r="X45" s="38"/>
      <c r="Y45" s="38"/>
    </row>
    <row r="46" ht="21.0" customHeight="1">
      <c r="A46" s="35"/>
      <c r="B46" s="36" t="str">
        <f t="shared" si="1"/>
        <v/>
      </c>
      <c r="C46" s="38"/>
      <c r="D46" s="38"/>
      <c r="E46" s="38"/>
      <c r="F46" s="39"/>
      <c r="G46" s="39"/>
      <c r="H46" s="39"/>
      <c r="I46" s="40" t="str">
        <f t="shared" si="2"/>
        <v/>
      </c>
      <c r="J46" s="39"/>
      <c r="K46" s="41" t="str">
        <f t="shared" si="3"/>
        <v/>
      </c>
      <c r="L46" s="43" t="str">
        <f t="shared" si="4"/>
        <v/>
      </c>
      <c r="M46" s="43" t="str">
        <f t="shared" si="5"/>
        <v/>
      </c>
      <c r="N46" s="39"/>
      <c r="O46" s="39"/>
      <c r="P46" s="43" t="str">
        <f t="shared" si="6"/>
        <v/>
      </c>
      <c r="Q46" s="39"/>
      <c r="R46" s="43" t="str">
        <f t="shared" si="7"/>
        <v/>
      </c>
      <c r="S46" s="39"/>
      <c r="T46" s="41" t="str">
        <f t="shared" si="8"/>
        <v/>
      </c>
      <c r="U46" s="39"/>
      <c r="V46" s="44" t="str">
        <f t="shared" si="9"/>
        <v/>
      </c>
      <c r="W46" s="41" t="str">
        <f t="shared" si="10"/>
        <v/>
      </c>
      <c r="X46" s="38"/>
      <c r="Y46" s="38"/>
    </row>
    <row r="47" ht="21.0" customHeight="1">
      <c r="A47" s="35"/>
      <c r="B47" s="36" t="str">
        <f t="shared" si="1"/>
        <v/>
      </c>
      <c r="C47" s="38"/>
      <c r="D47" s="38"/>
      <c r="E47" s="38"/>
      <c r="F47" s="39"/>
      <c r="G47" s="39"/>
      <c r="H47" s="39"/>
      <c r="I47" s="40" t="str">
        <f t="shared" si="2"/>
        <v/>
      </c>
      <c r="J47" s="39"/>
      <c r="K47" s="41" t="str">
        <f t="shared" si="3"/>
        <v/>
      </c>
      <c r="L47" s="43" t="str">
        <f t="shared" si="4"/>
        <v/>
      </c>
      <c r="M47" s="43" t="str">
        <f t="shared" si="5"/>
        <v/>
      </c>
      <c r="N47" s="39"/>
      <c r="O47" s="39"/>
      <c r="P47" s="43" t="str">
        <f t="shared" si="6"/>
        <v/>
      </c>
      <c r="Q47" s="39"/>
      <c r="R47" s="43" t="str">
        <f t="shared" si="7"/>
        <v/>
      </c>
      <c r="S47" s="39"/>
      <c r="T47" s="41" t="str">
        <f t="shared" si="8"/>
        <v/>
      </c>
      <c r="U47" s="39"/>
      <c r="V47" s="44" t="str">
        <f t="shared" si="9"/>
        <v/>
      </c>
      <c r="W47" s="41" t="str">
        <f t="shared" si="10"/>
        <v/>
      </c>
      <c r="X47" s="38"/>
      <c r="Y47" s="38"/>
    </row>
    <row r="48" ht="21.0" customHeight="1">
      <c r="A48" s="35"/>
      <c r="B48" s="36" t="str">
        <f t="shared" si="1"/>
        <v/>
      </c>
      <c r="C48" s="38"/>
      <c r="D48" s="38"/>
      <c r="E48" s="38"/>
      <c r="F48" s="39"/>
      <c r="G48" s="39"/>
      <c r="H48" s="39"/>
      <c r="I48" s="40" t="str">
        <f t="shared" si="2"/>
        <v/>
      </c>
      <c r="J48" s="39"/>
      <c r="K48" s="41" t="str">
        <f t="shared" si="3"/>
        <v/>
      </c>
      <c r="L48" s="43" t="str">
        <f t="shared" si="4"/>
        <v/>
      </c>
      <c r="M48" s="43" t="str">
        <f t="shared" si="5"/>
        <v/>
      </c>
      <c r="N48" s="39"/>
      <c r="O48" s="39"/>
      <c r="P48" s="43" t="str">
        <f t="shared" si="6"/>
        <v/>
      </c>
      <c r="Q48" s="39"/>
      <c r="R48" s="43" t="str">
        <f t="shared" si="7"/>
        <v/>
      </c>
      <c r="S48" s="39"/>
      <c r="T48" s="41" t="str">
        <f t="shared" si="8"/>
        <v/>
      </c>
      <c r="U48" s="39"/>
      <c r="V48" s="44" t="str">
        <f t="shared" si="9"/>
        <v/>
      </c>
      <c r="W48" s="41" t="str">
        <f t="shared" si="10"/>
        <v/>
      </c>
      <c r="X48" s="38"/>
      <c r="Y48" s="38"/>
    </row>
    <row r="49" ht="21.0" customHeight="1">
      <c r="A49" s="35"/>
      <c r="B49" s="36" t="str">
        <f t="shared" si="1"/>
        <v/>
      </c>
      <c r="C49" s="38"/>
      <c r="D49" s="38"/>
      <c r="E49" s="38"/>
      <c r="F49" s="39"/>
      <c r="G49" s="39"/>
      <c r="H49" s="39"/>
      <c r="I49" s="40" t="str">
        <f t="shared" si="2"/>
        <v/>
      </c>
      <c r="J49" s="39"/>
      <c r="K49" s="41" t="str">
        <f t="shared" si="3"/>
        <v/>
      </c>
      <c r="L49" s="43" t="str">
        <f t="shared" si="4"/>
        <v/>
      </c>
      <c r="M49" s="43" t="str">
        <f t="shared" si="5"/>
        <v/>
      </c>
      <c r="N49" s="39"/>
      <c r="O49" s="39"/>
      <c r="P49" s="43" t="str">
        <f t="shared" si="6"/>
        <v/>
      </c>
      <c r="Q49" s="39"/>
      <c r="R49" s="43" t="str">
        <f t="shared" si="7"/>
        <v/>
      </c>
      <c r="S49" s="39"/>
      <c r="T49" s="41" t="str">
        <f t="shared" si="8"/>
        <v/>
      </c>
      <c r="U49" s="39"/>
      <c r="V49" s="44" t="str">
        <f t="shared" si="9"/>
        <v/>
      </c>
      <c r="W49" s="41" t="str">
        <f t="shared" si="10"/>
        <v/>
      </c>
      <c r="X49" s="38"/>
      <c r="Y49" s="38"/>
    </row>
    <row r="50" ht="21.0" customHeight="1">
      <c r="A50" s="35"/>
      <c r="B50" s="36" t="str">
        <f t="shared" si="1"/>
        <v/>
      </c>
      <c r="C50" s="38"/>
      <c r="D50" s="38"/>
      <c r="E50" s="38"/>
      <c r="F50" s="39"/>
      <c r="G50" s="39"/>
      <c r="H50" s="39"/>
      <c r="I50" s="40" t="str">
        <f t="shared" si="2"/>
        <v/>
      </c>
      <c r="J50" s="39"/>
      <c r="K50" s="41" t="str">
        <f t="shared" si="3"/>
        <v/>
      </c>
      <c r="L50" s="43" t="str">
        <f t="shared" si="4"/>
        <v/>
      </c>
      <c r="M50" s="43" t="str">
        <f t="shared" si="5"/>
        <v/>
      </c>
      <c r="N50" s="39"/>
      <c r="O50" s="39"/>
      <c r="P50" s="43" t="str">
        <f t="shared" si="6"/>
        <v/>
      </c>
      <c r="Q50" s="39"/>
      <c r="R50" s="43" t="str">
        <f t="shared" si="7"/>
        <v/>
      </c>
      <c r="S50" s="39"/>
      <c r="T50" s="41" t="str">
        <f t="shared" si="8"/>
        <v/>
      </c>
      <c r="U50" s="39"/>
      <c r="V50" s="44" t="str">
        <f t="shared" si="9"/>
        <v/>
      </c>
      <c r="W50" s="41" t="str">
        <f t="shared" si="10"/>
        <v/>
      </c>
      <c r="X50" s="38"/>
      <c r="Y50" s="38"/>
    </row>
    <row r="51" ht="21.0" customHeight="1">
      <c r="A51" s="47"/>
      <c r="B51" s="48" t="str">
        <f t="shared" si="1"/>
        <v/>
      </c>
      <c r="C51" s="49"/>
      <c r="D51" s="49"/>
      <c r="E51" s="49"/>
      <c r="F51" s="50"/>
      <c r="G51" s="50"/>
      <c r="H51" s="50"/>
      <c r="I51" s="51" t="str">
        <f t="shared" si="2"/>
        <v/>
      </c>
      <c r="J51" s="50"/>
      <c r="K51" s="52" t="str">
        <f t="shared" si="3"/>
        <v/>
      </c>
      <c r="L51" s="53" t="str">
        <f t="shared" si="4"/>
        <v/>
      </c>
      <c r="M51" s="53" t="str">
        <f t="shared" si="5"/>
        <v/>
      </c>
      <c r="N51" s="50"/>
      <c r="O51" s="50"/>
      <c r="P51" s="53" t="str">
        <f t="shared" si="6"/>
        <v/>
      </c>
      <c r="Q51" s="50"/>
      <c r="R51" s="53" t="str">
        <f t="shared" si="7"/>
        <v/>
      </c>
      <c r="S51" s="50"/>
      <c r="T51" s="52" t="str">
        <f t="shared" si="8"/>
        <v/>
      </c>
      <c r="U51" s="50"/>
      <c r="V51" s="54" t="str">
        <f t="shared" si="9"/>
        <v/>
      </c>
      <c r="W51" s="52" t="str">
        <f t="shared" si="10"/>
        <v/>
      </c>
      <c r="X51" s="49"/>
      <c r="Y51" s="49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W51">
    <cfRule type="expression" dxfId="4" priority="1">
      <formula>AND($A2&lt;&gt;"",$W2&gt;0)</formula>
    </cfRule>
  </conditionalFormatting>
  <dataValidations>
    <dataValidation type="list" allowBlank="1" sqref="D2:D51">
      <formula1>"Awareness,Traffic,Engagement,Leads,Sales"</formula1>
    </dataValidation>
    <dataValidation type="list" allowBlank="1" sqref="E2:E51">
      <formula1>"Facebook,Instagram,TikTok,Google"</formula1>
    </dataValidation>
    <dataValidation type="list" allowBlank="1" sqref="X2:X51">
      <formula1>"Aktif,Selesai,Pause"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2.0"/>
    <col customWidth="1" min="4" max="4" width="16.0"/>
    <col customWidth="1" min="5" max="5" width="17.0"/>
    <col customWidth="1" min="6" max="6" width="16.0"/>
    <col customWidth="1" min="7" max="8" width="15.0"/>
    <col customWidth="1" min="9" max="26" width="8.71"/>
  </cols>
  <sheetData>
    <row r="1" ht="33.75" customHeight="1">
      <c r="A1" s="4" t="s">
        <v>64</v>
      </c>
      <c r="B1" s="7" t="s">
        <v>65</v>
      </c>
      <c r="C1" s="7" t="s">
        <v>66</v>
      </c>
      <c r="D1" s="7" t="s">
        <v>67</v>
      </c>
      <c r="E1" s="7" t="s">
        <v>54</v>
      </c>
      <c r="F1" s="7" t="s">
        <v>68</v>
      </c>
      <c r="G1" s="7" t="s">
        <v>69</v>
      </c>
      <c r="H1" s="14" t="s">
        <v>27</v>
      </c>
    </row>
    <row r="2" ht="21.0" customHeight="1">
      <c r="A2" s="16"/>
      <c r="B2" s="16"/>
      <c r="C2" s="16"/>
      <c r="D2" s="16"/>
      <c r="E2" s="16"/>
      <c r="F2" s="16"/>
      <c r="G2" s="15"/>
      <c r="H2" s="15"/>
    </row>
    <row r="3" ht="21.0" customHeight="1">
      <c r="A3" s="16"/>
      <c r="B3" s="16"/>
      <c r="C3" s="16"/>
      <c r="D3" s="16"/>
      <c r="E3" s="16"/>
      <c r="F3" s="16"/>
      <c r="G3" s="15"/>
      <c r="H3" s="15"/>
    </row>
    <row r="4" ht="21.0" customHeight="1">
      <c r="A4" s="16"/>
      <c r="B4" s="16"/>
      <c r="C4" s="16"/>
      <c r="D4" s="16"/>
      <c r="E4" s="16"/>
      <c r="F4" s="16"/>
      <c r="G4" s="15"/>
      <c r="H4" s="15"/>
    </row>
    <row r="5" ht="21.0" customHeight="1">
      <c r="A5" s="16"/>
      <c r="B5" s="16"/>
      <c r="C5" s="16"/>
      <c r="D5" s="16"/>
      <c r="E5" s="16"/>
      <c r="F5" s="16"/>
      <c r="G5" s="15"/>
      <c r="H5" s="15"/>
    </row>
    <row r="6" ht="21.0" customHeight="1">
      <c r="A6" s="16"/>
      <c r="B6" s="16"/>
      <c r="C6" s="16"/>
      <c r="D6" s="16"/>
      <c r="E6" s="16"/>
      <c r="F6" s="16"/>
      <c r="G6" s="15"/>
      <c r="H6" s="15"/>
    </row>
    <row r="7" ht="21.0" customHeight="1">
      <c r="A7" s="16"/>
      <c r="B7" s="16"/>
      <c r="C7" s="16"/>
      <c r="D7" s="16"/>
      <c r="E7" s="16"/>
      <c r="F7" s="16"/>
      <c r="G7" s="15"/>
      <c r="H7" s="15"/>
    </row>
    <row r="8" ht="21.0" customHeight="1">
      <c r="A8" s="16"/>
      <c r="B8" s="16"/>
      <c r="C8" s="16"/>
      <c r="D8" s="16"/>
      <c r="E8" s="16"/>
      <c r="F8" s="16"/>
      <c r="G8" s="15"/>
      <c r="H8" s="15"/>
    </row>
    <row r="9" ht="21.0" customHeight="1">
      <c r="A9" s="16"/>
      <c r="B9" s="16"/>
      <c r="C9" s="16"/>
      <c r="D9" s="16"/>
      <c r="E9" s="16"/>
      <c r="F9" s="16"/>
      <c r="G9" s="15"/>
      <c r="H9" s="15"/>
    </row>
    <row r="10" ht="21.0" customHeight="1">
      <c r="A10" s="16"/>
      <c r="B10" s="16"/>
      <c r="C10" s="16"/>
      <c r="D10" s="16"/>
      <c r="E10" s="16"/>
      <c r="F10" s="16"/>
      <c r="G10" s="15"/>
      <c r="H10" s="15"/>
    </row>
    <row r="11" ht="21.0" customHeight="1">
      <c r="A11" s="16"/>
      <c r="B11" s="16"/>
      <c r="C11" s="16"/>
      <c r="D11" s="16"/>
      <c r="E11" s="16"/>
      <c r="F11" s="16"/>
      <c r="G11" s="15"/>
      <c r="H11" s="15"/>
    </row>
    <row r="12">
      <c r="G12" s="26"/>
      <c r="H12" s="26"/>
    </row>
    <row r="13">
      <c r="G13" s="26"/>
      <c r="H13" s="26"/>
    </row>
    <row r="14">
      <c r="G14" s="26"/>
      <c r="H14" s="26"/>
    </row>
    <row r="15">
      <c r="G15" s="26"/>
      <c r="H15" s="26"/>
    </row>
    <row r="16">
      <c r="G16" s="26"/>
      <c r="H16" s="26"/>
    </row>
    <row r="17">
      <c r="G17" s="26"/>
      <c r="H17" s="26"/>
    </row>
    <row r="18">
      <c r="G18" s="26"/>
      <c r="H18" s="26"/>
    </row>
    <row r="19">
      <c r="G19" s="26"/>
      <c r="H19" s="26"/>
    </row>
    <row r="20">
      <c r="G20" s="26"/>
      <c r="H20" s="26"/>
    </row>
    <row r="21" ht="15.75" customHeight="1">
      <c r="G21" s="26"/>
      <c r="H21" s="26"/>
    </row>
    <row r="22" ht="15.75" customHeight="1">
      <c r="G22" s="26"/>
      <c r="H22" s="26"/>
    </row>
    <row r="23" ht="15.75" customHeight="1">
      <c r="G23" s="26"/>
      <c r="H23" s="26"/>
    </row>
    <row r="24" ht="15.75" customHeight="1">
      <c r="G24" s="26"/>
      <c r="H24" s="26"/>
    </row>
    <row r="25" ht="15.75" customHeight="1">
      <c r="G25" s="26"/>
      <c r="H25" s="26"/>
    </row>
    <row r="26" ht="15.75" customHeight="1">
      <c r="G26" s="26"/>
      <c r="H26" s="26"/>
    </row>
    <row r="27" ht="15.75" customHeight="1">
      <c r="G27" s="26"/>
      <c r="H27" s="26"/>
    </row>
    <row r="28" ht="15.75" customHeight="1">
      <c r="G28" s="26"/>
      <c r="H28" s="26"/>
    </row>
    <row r="29" ht="15.75" customHeight="1">
      <c r="G29" s="26"/>
      <c r="H29" s="26"/>
    </row>
    <row r="30" ht="15.75" customHeight="1">
      <c r="G30" s="26"/>
      <c r="H30" s="26"/>
    </row>
    <row r="31" ht="15.75" customHeight="1">
      <c r="G31" s="26"/>
      <c r="H31" s="26"/>
    </row>
    <row r="32" ht="15.75" customHeight="1">
      <c r="G32" s="26"/>
      <c r="H32" s="26"/>
    </row>
    <row r="33" ht="15.75" customHeight="1">
      <c r="G33" s="26"/>
      <c r="H33" s="26"/>
    </row>
    <row r="34" ht="15.75" customHeight="1">
      <c r="G34" s="26"/>
      <c r="H34" s="26"/>
    </row>
    <row r="35" ht="15.75" customHeight="1">
      <c r="G35" s="26"/>
      <c r="H35" s="26"/>
    </row>
    <row r="36" ht="15.75" customHeight="1">
      <c r="G36" s="26"/>
      <c r="H36" s="26"/>
    </row>
    <row r="37" ht="15.75" customHeight="1">
      <c r="G37" s="26"/>
      <c r="H37" s="26"/>
    </row>
    <row r="38" ht="15.75" customHeight="1">
      <c r="G38" s="26"/>
      <c r="H38" s="26"/>
    </row>
    <row r="39" ht="15.75" customHeight="1">
      <c r="G39" s="26"/>
      <c r="H39" s="26"/>
    </row>
    <row r="40" ht="15.75" customHeight="1">
      <c r="G40" s="26"/>
      <c r="H40" s="26"/>
    </row>
    <row r="41" ht="15.75" customHeight="1">
      <c r="G41" s="26"/>
      <c r="H41" s="26"/>
    </row>
    <row r="42" ht="15.75" customHeight="1">
      <c r="G42" s="26"/>
      <c r="H42" s="26"/>
    </row>
    <row r="43" ht="15.75" customHeight="1">
      <c r="G43" s="26"/>
      <c r="H43" s="26"/>
    </row>
    <row r="44" ht="15.75" customHeight="1">
      <c r="G44" s="26"/>
      <c r="H44" s="26"/>
    </row>
    <row r="45" ht="15.75" customHeight="1">
      <c r="G45" s="26"/>
      <c r="H45" s="26"/>
    </row>
    <row r="46" ht="15.75" customHeight="1">
      <c r="G46" s="26"/>
      <c r="H46" s="26"/>
    </row>
    <row r="47" ht="15.75" customHeight="1">
      <c r="G47" s="26"/>
      <c r="H47" s="26"/>
    </row>
    <row r="48" ht="15.75" customHeight="1">
      <c r="G48" s="26"/>
      <c r="H48" s="26"/>
    </row>
    <row r="49" ht="15.75" customHeight="1">
      <c r="G49" s="26"/>
      <c r="H49" s="26"/>
    </row>
    <row r="50" ht="15.75" customHeight="1">
      <c r="G50" s="26"/>
      <c r="H50" s="26"/>
    </row>
    <row r="51" ht="15.75" customHeight="1">
      <c r="G51" s="26"/>
      <c r="H51" s="26"/>
    </row>
    <row r="52" ht="15.75" customHeight="1">
      <c r="G52" s="26"/>
      <c r="H52" s="26"/>
    </row>
    <row r="53" ht="15.75" customHeight="1">
      <c r="G53" s="26"/>
      <c r="H53" s="26"/>
    </row>
    <row r="54" ht="15.75" customHeight="1">
      <c r="G54" s="26"/>
      <c r="H54" s="26"/>
    </row>
    <row r="55" ht="15.75" customHeight="1">
      <c r="G55" s="26"/>
      <c r="H55" s="26"/>
    </row>
    <row r="56" ht="15.75" customHeight="1">
      <c r="G56" s="26"/>
      <c r="H56" s="26"/>
    </row>
    <row r="57" ht="15.75" customHeight="1">
      <c r="G57" s="26"/>
      <c r="H57" s="26"/>
    </row>
    <row r="58" ht="15.75" customHeight="1">
      <c r="G58" s="26"/>
      <c r="H58" s="26"/>
    </row>
    <row r="59" ht="15.75" customHeight="1">
      <c r="G59" s="26"/>
      <c r="H59" s="26"/>
    </row>
    <row r="60" ht="15.75" customHeight="1">
      <c r="G60" s="26"/>
      <c r="H60" s="26"/>
    </row>
    <row r="61" ht="15.75" customHeight="1">
      <c r="G61" s="26"/>
      <c r="H61" s="26"/>
    </row>
    <row r="62" ht="15.75" customHeight="1">
      <c r="G62" s="26"/>
      <c r="H62" s="26"/>
    </row>
    <row r="63" ht="15.75" customHeight="1">
      <c r="G63" s="26"/>
      <c r="H63" s="26"/>
    </row>
    <row r="64" ht="15.75" customHeight="1">
      <c r="G64" s="26"/>
      <c r="H64" s="26"/>
    </row>
    <row r="65" ht="15.75" customHeight="1">
      <c r="G65" s="26"/>
      <c r="H65" s="26"/>
    </row>
    <row r="66" ht="15.75" customHeight="1">
      <c r="G66" s="26"/>
      <c r="H66" s="26"/>
    </row>
    <row r="67" ht="15.75" customHeight="1">
      <c r="G67" s="26"/>
      <c r="H67" s="26"/>
    </row>
    <row r="68" ht="15.75" customHeight="1">
      <c r="G68" s="26"/>
      <c r="H68" s="26"/>
    </row>
    <row r="69" ht="15.75" customHeight="1">
      <c r="G69" s="26"/>
      <c r="H69" s="26"/>
    </row>
    <row r="70" ht="15.75" customHeight="1">
      <c r="G70" s="26"/>
      <c r="H70" s="26"/>
    </row>
    <row r="71" ht="15.75" customHeight="1">
      <c r="G71" s="26"/>
      <c r="H71" s="26"/>
    </row>
    <row r="72" ht="15.75" customHeight="1">
      <c r="G72" s="26"/>
      <c r="H72" s="26"/>
    </row>
    <row r="73" ht="15.75" customHeight="1">
      <c r="G73" s="26"/>
      <c r="H73" s="26"/>
    </row>
    <row r="74" ht="15.75" customHeight="1">
      <c r="G74" s="26"/>
      <c r="H74" s="26"/>
    </row>
    <row r="75" ht="15.75" customHeight="1">
      <c r="G75" s="26"/>
      <c r="H75" s="26"/>
    </row>
    <row r="76" ht="15.75" customHeight="1">
      <c r="G76" s="26"/>
      <c r="H76" s="26"/>
    </row>
    <row r="77" ht="15.75" customHeight="1">
      <c r="G77" s="26"/>
      <c r="H77" s="26"/>
    </row>
    <row r="78" ht="15.75" customHeight="1">
      <c r="G78" s="26"/>
      <c r="H78" s="26"/>
    </row>
    <row r="79" ht="15.75" customHeight="1">
      <c r="G79" s="26"/>
      <c r="H79" s="26"/>
    </row>
    <row r="80" ht="15.75" customHeight="1">
      <c r="G80" s="26"/>
      <c r="H80" s="26"/>
    </row>
    <row r="81" ht="15.75" customHeight="1">
      <c r="G81" s="26"/>
      <c r="H81" s="26"/>
    </row>
    <row r="82" ht="15.75" customHeight="1">
      <c r="G82" s="26"/>
      <c r="H82" s="26"/>
    </row>
    <row r="83" ht="15.75" customHeight="1">
      <c r="G83" s="26"/>
      <c r="H83" s="26"/>
    </row>
    <row r="84" ht="15.75" customHeight="1">
      <c r="G84" s="26"/>
      <c r="H84" s="26"/>
    </row>
    <row r="85" ht="15.75" customHeight="1">
      <c r="G85" s="26"/>
      <c r="H85" s="26"/>
    </row>
    <row r="86" ht="15.75" customHeight="1">
      <c r="G86" s="26"/>
      <c r="H86" s="26"/>
    </row>
    <row r="87" ht="15.75" customHeight="1">
      <c r="G87" s="26"/>
      <c r="H87" s="26"/>
    </row>
    <row r="88" ht="15.75" customHeight="1">
      <c r="G88" s="26"/>
      <c r="H88" s="26"/>
    </row>
    <row r="89" ht="15.75" customHeight="1">
      <c r="G89" s="26"/>
      <c r="H89" s="26"/>
    </row>
    <row r="90" ht="15.75" customHeight="1">
      <c r="G90" s="26"/>
      <c r="H90" s="26"/>
    </row>
    <row r="91" ht="15.75" customHeight="1">
      <c r="G91" s="26"/>
      <c r="H91" s="26"/>
    </row>
    <row r="92" ht="15.75" customHeight="1">
      <c r="G92" s="26"/>
      <c r="H92" s="26"/>
    </row>
    <row r="93" ht="15.75" customHeight="1">
      <c r="G93" s="26"/>
      <c r="H93" s="26"/>
    </row>
    <row r="94" ht="15.75" customHeight="1">
      <c r="G94" s="26"/>
      <c r="H94" s="26"/>
    </row>
    <row r="95" ht="15.75" customHeight="1">
      <c r="G95" s="26"/>
      <c r="H95" s="26"/>
    </row>
    <row r="96" ht="15.75" customHeight="1">
      <c r="G96" s="26"/>
      <c r="H96" s="26"/>
    </row>
    <row r="97" ht="15.75" customHeight="1">
      <c r="G97" s="26"/>
      <c r="H97" s="26"/>
    </row>
    <row r="98" ht="15.75" customHeight="1">
      <c r="G98" s="26"/>
      <c r="H98" s="26"/>
    </row>
    <row r="99" ht="15.75" customHeight="1">
      <c r="G99" s="26"/>
      <c r="H99" s="26"/>
    </row>
    <row r="100" ht="15.75" customHeight="1">
      <c r="G100" s="26"/>
      <c r="H100" s="2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25.0"/>
    <col customWidth="1" min="3" max="3" width="17.0"/>
    <col customWidth="1" min="4" max="4" width="18.0"/>
    <col customWidth="1" min="5" max="26" width="8.71"/>
  </cols>
  <sheetData>
    <row r="1" ht="24.0" customHeight="1">
      <c r="A1" s="4" t="s">
        <v>1</v>
      </c>
      <c r="B1" s="7" t="s">
        <v>70</v>
      </c>
      <c r="C1" s="7" t="s">
        <v>71</v>
      </c>
      <c r="D1" s="14" t="s">
        <v>54</v>
      </c>
    </row>
    <row r="2" ht="21.0" customHeight="1">
      <c r="A2" s="15"/>
      <c r="B2" s="16"/>
      <c r="C2" s="18"/>
      <c r="D2" s="16"/>
    </row>
    <row r="3" ht="21.0" customHeight="1">
      <c r="A3" s="15"/>
      <c r="B3" s="16"/>
      <c r="C3" s="18"/>
      <c r="D3" s="16"/>
    </row>
    <row r="4" ht="21.0" customHeight="1">
      <c r="A4" s="15"/>
      <c r="B4" s="16"/>
      <c r="C4" s="18"/>
      <c r="D4" s="16"/>
    </row>
    <row r="5" ht="21.0" customHeight="1">
      <c r="A5" s="15"/>
      <c r="B5" s="16"/>
      <c r="C5" s="18"/>
      <c r="D5" s="16"/>
    </row>
    <row r="6" ht="21.0" customHeight="1">
      <c r="A6" s="15"/>
      <c r="B6" s="16"/>
      <c r="C6" s="18"/>
      <c r="D6" s="16"/>
    </row>
    <row r="7" ht="21.0" customHeight="1">
      <c r="A7" s="15"/>
      <c r="B7" s="16"/>
      <c r="C7" s="18"/>
      <c r="D7" s="16"/>
    </row>
    <row r="8" ht="21.0" customHeight="1">
      <c r="A8" s="15"/>
      <c r="B8" s="16"/>
      <c r="C8" s="18"/>
      <c r="D8" s="16"/>
    </row>
    <row r="9" ht="21.0" customHeight="1">
      <c r="A9" s="15"/>
      <c r="B9" s="16"/>
      <c r="C9" s="18"/>
      <c r="D9" s="16"/>
    </row>
    <row r="10" ht="21.0" customHeight="1">
      <c r="A10" s="15"/>
      <c r="B10" s="16"/>
      <c r="C10" s="18"/>
      <c r="D10" s="16"/>
    </row>
    <row r="11" ht="21.0" customHeight="1">
      <c r="A11" s="15"/>
      <c r="B11" s="16"/>
      <c r="C11" s="18"/>
      <c r="D11" s="16"/>
    </row>
    <row r="12">
      <c r="A12" s="26"/>
      <c r="C12" s="27"/>
    </row>
    <row r="13">
      <c r="A13" s="26"/>
      <c r="C13" s="27"/>
    </row>
    <row r="14">
      <c r="A14" s="26"/>
      <c r="C14" s="27"/>
    </row>
    <row r="15">
      <c r="A15" s="26"/>
      <c r="C15" s="27"/>
    </row>
    <row r="16">
      <c r="A16" s="26"/>
      <c r="C16" s="27"/>
    </row>
    <row r="17">
      <c r="A17" s="26"/>
      <c r="C17" s="27"/>
    </row>
    <row r="18">
      <c r="A18" s="26"/>
      <c r="C18" s="27"/>
    </row>
    <row r="19">
      <c r="A19" s="26"/>
      <c r="C19" s="27"/>
    </row>
    <row r="20">
      <c r="A20" s="26"/>
      <c r="C20" s="27"/>
    </row>
    <row r="21" ht="15.75" customHeight="1">
      <c r="A21" s="26"/>
      <c r="C21" s="27"/>
    </row>
    <row r="22" ht="15.75" customHeight="1">
      <c r="A22" s="26"/>
      <c r="C22" s="27"/>
    </row>
    <row r="23" ht="15.75" customHeight="1">
      <c r="A23" s="26"/>
      <c r="C23" s="27"/>
    </row>
    <row r="24" ht="15.75" customHeight="1">
      <c r="A24" s="26"/>
      <c r="C24" s="27"/>
    </row>
    <row r="25" ht="15.75" customHeight="1">
      <c r="A25" s="26"/>
      <c r="C25" s="27"/>
    </row>
    <row r="26" ht="15.75" customHeight="1">
      <c r="A26" s="26"/>
      <c r="C26" s="27"/>
    </row>
    <row r="27" ht="15.75" customHeight="1">
      <c r="A27" s="26"/>
      <c r="C27" s="27"/>
    </row>
    <row r="28" ht="15.75" customHeight="1">
      <c r="A28" s="26"/>
      <c r="C28" s="27"/>
    </row>
    <row r="29" ht="15.75" customHeight="1">
      <c r="A29" s="26"/>
      <c r="C29" s="27"/>
    </row>
    <row r="30" ht="15.75" customHeight="1">
      <c r="A30" s="26"/>
      <c r="C30" s="27"/>
    </row>
    <row r="31" ht="15.75" customHeight="1">
      <c r="A31" s="26"/>
      <c r="C31" s="27"/>
    </row>
    <row r="32" ht="15.75" customHeight="1">
      <c r="A32" s="26"/>
      <c r="C32" s="27"/>
    </row>
    <row r="33" ht="15.75" customHeight="1">
      <c r="A33" s="26"/>
      <c r="C33" s="27"/>
    </row>
    <row r="34" ht="15.75" customHeight="1">
      <c r="A34" s="26"/>
      <c r="C34" s="27"/>
    </row>
    <row r="35" ht="15.75" customHeight="1">
      <c r="A35" s="26"/>
      <c r="C35" s="27"/>
    </row>
    <row r="36" ht="15.75" customHeight="1">
      <c r="A36" s="26"/>
      <c r="C36" s="27"/>
    </row>
    <row r="37" ht="15.75" customHeight="1">
      <c r="A37" s="26"/>
      <c r="C37" s="27"/>
    </row>
    <row r="38" ht="15.75" customHeight="1">
      <c r="A38" s="26"/>
      <c r="C38" s="27"/>
    </row>
    <row r="39" ht="15.75" customHeight="1">
      <c r="A39" s="26"/>
      <c r="C39" s="27"/>
    </row>
    <row r="40" ht="15.75" customHeight="1">
      <c r="A40" s="26"/>
      <c r="C40" s="27"/>
    </row>
    <row r="41" ht="15.75" customHeight="1">
      <c r="A41" s="26"/>
      <c r="C41" s="27"/>
    </row>
    <row r="42" ht="15.75" customHeight="1">
      <c r="A42" s="26"/>
      <c r="C42" s="27"/>
    </row>
    <row r="43" ht="15.75" customHeight="1">
      <c r="A43" s="26"/>
      <c r="C43" s="27"/>
    </row>
    <row r="44" ht="15.75" customHeight="1">
      <c r="A44" s="26"/>
      <c r="C44" s="27"/>
    </row>
    <row r="45" ht="15.75" customHeight="1">
      <c r="A45" s="26"/>
      <c r="C45" s="27"/>
    </row>
    <row r="46" ht="15.75" customHeight="1">
      <c r="A46" s="26"/>
      <c r="C46" s="27"/>
    </row>
    <row r="47" ht="15.75" customHeight="1">
      <c r="A47" s="26"/>
      <c r="C47" s="27"/>
    </row>
    <row r="48" ht="15.75" customHeight="1">
      <c r="A48" s="26"/>
      <c r="C48" s="27"/>
    </row>
    <row r="49" ht="15.75" customHeight="1">
      <c r="A49" s="26"/>
      <c r="C49" s="27"/>
    </row>
    <row r="50" ht="15.75" customHeight="1">
      <c r="A50" s="26"/>
      <c r="C50" s="27"/>
    </row>
    <row r="51" ht="15.75" customHeight="1">
      <c r="A51" s="26"/>
      <c r="C51" s="27"/>
    </row>
    <row r="52" ht="15.75" customHeight="1">
      <c r="A52" s="26"/>
      <c r="C52" s="27"/>
    </row>
    <row r="53" ht="15.75" customHeight="1">
      <c r="A53" s="26"/>
      <c r="C53" s="27"/>
    </row>
    <row r="54" ht="15.75" customHeight="1">
      <c r="A54" s="26"/>
      <c r="C54" s="27"/>
    </row>
    <row r="55" ht="15.75" customHeight="1">
      <c r="A55" s="26"/>
      <c r="C55" s="27"/>
    </row>
    <row r="56" ht="15.75" customHeight="1">
      <c r="A56" s="26"/>
      <c r="C56" s="27"/>
    </row>
    <row r="57" ht="15.75" customHeight="1">
      <c r="A57" s="26"/>
      <c r="C57" s="27"/>
    </row>
    <row r="58" ht="15.75" customHeight="1">
      <c r="A58" s="26"/>
      <c r="C58" s="27"/>
    </row>
    <row r="59" ht="15.75" customHeight="1">
      <c r="A59" s="26"/>
      <c r="C59" s="27"/>
    </row>
    <row r="60" ht="15.75" customHeight="1">
      <c r="A60" s="26"/>
      <c r="C60" s="27"/>
    </row>
    <row r="61" ht="15.75" customHeight="1">
      <c r="A61" s="26"/>
      <c r="C61" s="27"/>
    </row>
    <row r="62" ht="15.75" customHeight="1">
      <c r="A62" s="26"/>
      <c r="C62" s="27"/>
    </row>
    <row r="63" ht="15.75" customHeight="1">
      <c r="A63" s="26"/>
      <c r="C63" s="27"/>
    </row>
    <row r="64" ht="15.75" customHeight="1">
      <c r="A64" s="26"/>
      <c r="C64" s="27"/>
    </row>
    <row r="65" ht="15.75" customHeight="1">
      <c r="A65" s="26"/>
      <c r="C65" s="27"/>
    </row>
    <row r="66" ht="15.75" customHeight="1">
      <c r="A66" s="26"/>
      <c r="C66" s="27"/>
    </row>
    <row r="67" ht="15.75" customHeight="1">
      <c r="A67" s="26"/>
      <c r="C67" s="27"/>
    </row>
    <row r="68" ht="15.75" customHeight="1">
      <c r="A68" s="26"/>
      <c r="C68" s="27"/>
    </row>
    <row r="69" ht="15.75" customHeight="1">
      <c r="A69" s="26"/>
      <c r="C69" s="27"/>
    </row>
    <row r="70" ht="15.75" customHeight="1">
      <c r="A70" s="26"/>
      <c r="C70" s="27"/>
    </row>
    <row r="71" ht="15.75" customHeight="1">
      <c r="A71" s="26"/>
      <c r="C71" s="27"/>
    </row>
    <row r="72" ht="15.75" customHeight="1">
      <c r="A72" s="26"/>
      <c r="C72" s="27"/>
    </row>
    <row r="73" ht="15.75" customHeight="1">
      <c r="A73" s="26"/>
      <c r="C73" s="27"/>
    </row>
    <row r="74" ht="15.75" customHeight="1">
      <c r="A74" s="26"/>
      <c r="C74" s="27"/>
    </row>
    <row r="75" ht="15.75" customHeight="1">
      <c r="A75" s="26"/>
      <c r="C75" s="27"/>
    </row>
    <row r="76" ht="15.75" customHeight="1">
      <c r="A76" s="26"/>
      <c r="C76" s="27"/>
    </row>
    <row r="77" ht="15.75" customHeight="1">
      <c r="A77" s="26"/>
      <c r="C77" s="27"/>
    </row>
    <row r="78" ht="15.75" customHeight="1">
      <c r="A78" s="26"/>
      <c r="C78" s="27"/>
    </row>
    <row r="79" ht="15.75" customHeight="1">
      <c r="A79" s="26"/>
      <c r="C79" s="27"/>
    </row>
    <row r="80" ht="15.75" customHeight="1">
      <c r="A80" s="26"/>
      <c r="C80" s="27"/>
    </row>
    <row r="81" ht="15.75" customHeight="1">
      <c r="A81" s="26"/>
      <c r="C81" s="27"/>
    </row>
    <row r="82" ht="15.75" customHeight="1">
      <c r="A82" s="26"/>
      <c r="C82" s="27"/>
    </row>
    <row r="83" ht="15.75" customHeight="1">
      <c r="A83" s="26"/>
      <c r="C83" s="27"/>
    </row>
    <row r="84" ht="15.75" customHeight="1">
      <c r="A84" s="26"/>
      <c r="C84" s="27"/>
    </row>
    <row r="85" ht="15.75" customHeight="1">
      <c r="A85" s="26"/>
      <c r="C85" s="27"/>
    </row>
    <row r="86" ht="15.75" customHeight="1">
      <c r="A86" s="26"/>
      <c r="C86" s="27"/>
    </row>
    <row r="87" ht="15.75" customHeight="1">
      <c r="A87" s="26"/>
      <c r="C87" s="27"/>
    </row>
    <row r="88" ht="15.75" customHeight="1">
      <c r="A88" s="26"/>
      <c r="C88" s="27"/>
    </row>
    <row r="89" ht="15.75" customHeight="1">
      <c r="A89" s="26"/>
      <c r="C89" s="27"/>
    </row>
    <row r="90" ht="15.75" customHeight="1">
      <c r="A90" s="26"/>
      <c r="C90" s="27"/>
    </row>
    <row r="91" ht="15.75" customHeight="1">
      <c r="A91" s="26"/>
      <c r="C91" s="27"/>
    </row>
    <row r="92" ht="15.75" customHeight="1">
      <c r="A92" s="26"/>
      <c r="C92" s="27"/>
    </row>
    <row r="93" ht="15.75" customHeight="1">
      <c r="A93" s="26"/>
      <c r="C93" s="27"/>
    </row>
    <row r="94" ht="15.75" customHeight="1">
      <c r="A94" s="26"/>
      <c r="C94" s="27"/>
    </row>
    <row r="95" ht="15.75" customHeight="1">
      <c r="A95" s="26"/>
      <c r="C95" s="27"/>
    </row>
    <row r="96" ht="15.75" customHeight="1">
      <c r="A96" s="26"/>
      <c r="C96" s="27"/>
    </row>
    <row r="97" ht="15.75" customHeight="1">
      <c r="A97" s="26"/>
      <c r="C97" s="27"/>
    </row>
    <row r="98" ht="15.75" customHeight="1">
      <c r="A98" s="26"/>
      <c r="C98" s="27"/>
    </row>
    <row r="99" ht="15.75" customHeight="1">
      <c r="A99" s="26"/>
      <c r="C99" s="27"/>
    </row>
    <row r="100" ht="15.75" customHeight="1">
      <c r="A100" s="26"/>
      <c r="C100" s="27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14.0"/>
    <col customWidth="1" min="5" max="5" width="15.0"/>
    <col customWidth="1" min="6" max="26" width="8.71"/>
  </cols>
  <sheetData>
    <row r="1" ht="23.25" customHeight="1">
      <c r="A1" s="4" t="s">
        <v>68</v>
      </c>
      <c r="B1" s="7" t="s">
        <v>25</v>
      </c>
      <c r="C1" s="7" t="s">
        <v>69</v>
      </c>
      <c r="D1" s="7" t="s">
        <v>27</v>
      </c>
      <c r="E1" s="14" t="s">
        <v>72</v>
      </c>
    </row>
    <row r="2" ht="21.0" customHeight="1">
      <c r="A2" s="16"/>
      <c r="B2" s="16"/>
      <c r="C2" s="16"/>
      <c r="D2" s="16"/>
      <c r="E2" s="45"/>
    </row>
    <row r="3" ht="21.0" customHeight="1">
      <c r="A3" s="16"/>
      <c r="B3" s="16"/>
      <c r="C3" s="16"/>
      <c r="D3" s="16"/>
      <c r="E3" s="45"/>
    </row>
    <row r="4" ht="21.0" customHeight="1">
      <c r="A4" s="16"/>
      <c r="B4" s="16"/>
      <c r="C4" s="16"/>
      <c r="D4" s="16"/>
      <c r="E4" s="45"/>
    </row>
    <row r="5" ht="21.0" customHeight="1">
      <c r="A5" s="16"/>
      <c r="B5" s="16"/>
      <c r="C5" s="16"/>
      <c r="D5" s="16"/>
      <c r="E5" s="45"/>
    </row>
    <row r="6" ht="21.0" customHeight="1">
      <c r="A6" s="16"/>
      <c r="B6" s="16"/>
      <c r="C6" s="16"/>
      <c r="D6" s="16"/>
      <c r="E6" s="45"/>
    </row>
    <row r="7" ht="21.0" customHeight="1">
      <c r="A7" s="16"/>
      <c r="B7" s="16"/>
      <c r="C7" s="16"/>
      <c r="D7" s="16"/>
      <c r="E7" s="45"/>
    </row>
    <row r="8" ht="21.0" customHeight="1">
      <c r="A8" s="16"/>
      <c r="B8" s="16"/>
      <c r="C8" s="16"/>
      <c r="D8" s="16"/>
      <c r="E8" s="45"/>
    </row>
    <row r="9" ht="21.0" customHeight="1">
      <c r="A9" s="16"/>
      <c r="B9" s="16"/>
      <c r="C9" s="16"/>
      <c r="D9" s="16"/>
      <c r="E9" s="45"/>
    </row>
    <row r="10" ht="21.0" customHeight="1">
      <c r="A10" s="16"/>
      <c r="B10" s="16"/>
      <c r="C10" s="16"/>
      <c r="D10" s="16"/>
      <c r="E10" s="45"/>
    </row>
    <row r="11" ht="21.0" customHeight="1">
      <c r="A11" s="16"/>
      <c r="B11" s="16"/>
      <c r="C11" s="16"/>
      <c r="D11" s="16"/>
      <c r="E11" s="45"/>
    </row>
    <row r="12">
      <c r="E12" s="46"/>
    </row>
    <row r="13">
      <c r="E13" s="46"/>
    </row>
    <row r="14">
      <c r="E14" s="46"/>
    </row>
    <row r="15">
      <c r="E15" s="46"/>
    </row>
    <row r="16">
      <c r="E16" s="46"/>
    </row>
    <row r="17">
      <c r="E17" s="46"/>
    </row>
    <row r="18">
      <c r="E18" s="46"/>
    </row>
    <row r="19">
      <c r="E19" s="46"/>
    </row>
    <row r="20">
      <c r="E20" s="46"/>
    </row>
    <row r="21" ht="15.75" customHeight="1">
      <c r="E21" s="46"/>
    </row>
    <row r="22" ht="15.75" customHeight="1">
      <c r="E22" s="46"/>
    </row>
    <row r="23" ht="15.75" customHeight="1">
      <c r="E23" s="46"/>
    </row>
    <row r="24" ht="15.75" customHeight="1">
      <c r="E24" s="46"/>
    </row>
    <row r="25" ht="15.75" customHeight="1">
      <c r="E25" s="46"/>
    </row>
    <row r="26" ht="15.75" customHeight="1">
      <c r="E26" s="46"/>
    </row>
    <row r="27" ht="15.75" customHeight="1">
      <c r="E27" s="46"/>
    </row>
    <row r="28" ht="15.75" customHeight="1">
      <c r="E28" s="46"/>
    </row>
    <row r="29" ht="15.75" customHeight="1">
      <c r="E29" s="46"/>
    </row>
    <row r="30" ht="15.75" customHeight="1">
      <c r="E30" s="46"/>
    </row>
    <row r="31" ht="15.75" customHeight="1">
      <c r="E31" s="46"/>
    </row>
    <row r="32" ht="15.75" customHeight="1">
      <c r="E32" s="46"/>
    </row>
    <row r="33" ht="15.75" customHeight="1">
      <c r="E33" s="46"/>
    </row>
    <row r="34" ht="15.75" customHeight="1">
      <c r="E34" s="46"/>
    </row>
    <row r="35" ht="15.75" customHeight="1">
      <c r="E35" s="46"/>
    </row>
    <row r="36" ht="15.75" customHeight="1">
      <c r="E36" s="46"/>
    </row>
    <row r="37" ht="15.75" customHeight="1">
      <c r="E37" s="46"/>
    </row>
    <row r="38" ht="15.75" customHeight="1">
      <c r="E38" s="46"/>
    </row>
    <row r="39" ht="15.75" customHeight="1">
      <c r="E39" s="46"/>
    </row>
    <row r="40" ht="15.75" customHeight="1">
      <c r="E40" s="46"/>
    </row>
    <row r="41" ht="15.75" customHeight="1">
      <c r="E41" s="46"/>
    </row>
    <row r="42" ht="15.75" customHeight="1">
      <c r="E42" s="46"/>
    </row>
    <row r="43" ht="15.75" customHeight="1">
      <c r="E43" s="46"/>
    </row>
    <row r="44" ht="15.75" customHeight="1">
      <c r="E44" s="46"/>
    </row>
    <row r="45" ht="15.75" customHeight="1">
      <c r="E45" s="46"/>
    </row>
    <row r="46" ht="15.75" customHeight="1">
      <c r="E46" s="46"/>
    </row>
    <row r="47" ht="15.75" customHeight="1">
      <c r="E47" s="46"/>
    </row>
    <row r="48" ht="15.75" customHeight="1">
      <c r="E48" s="46"/>
    </row>
    <row r="49" ht="15.75" customHeight="1">
      <c r="E49" s="46"/>
    </row>
    <row r="50" ht="15.75" customHeight="1">
      <c r="E50" s="46"/>
    </row>
    <row r="51" ht="15.75" customHeight="1">
      <c r="E51" s="46"/>
    </row>
    <row r="52" ht="15.75" customHeight="1">
      <c r="E52" s="46"/>
    </row>
    <row r="53" ht="15.75" customHeight="1">
      <c r="E53" s="46"/>
    </row>
    <row r="54" ht="15.75" customHeight="1">
      <c r="E54" s="46"/>
    </row>
    <row r="55" ht="15.75" customHeight="1">
      <c r="E55" s="46"/>
    </row>
    <row r="56" ht="15.75" customHeight="1">
      <c r="E56" s="46"/>
    </row>
    <row r="57" ht="15.75" customHeight="1">
      <c r="E57" s="46"/>
    </row>
    <row r="58" ht="15.75" customHeight="1">
      <c r="E58" s="46"/>
    </row>
    <row r="59" ht="15.75" customHeight="1">
      <c r="E59" s="46"/>
    </row>
    <row r="60" ht="15.75" customHeight="1">
      <c r="E60" s="46"/>
    </row>
    <row r="61" ht="15.75" customHeight="1">
      <c r="E61" s="46"/>
    </row>
    <row r="62" ht="15.75" customHeight="1">
      <c r="E62" s="46"/>
    </row>
    <row r="63" ht="15.75" customHeight="1">
      <c r="E63" s="46"/>
    </row>
    <row r="64" ht="15.75" customHeight="1">
      <c r="E64" s="46"/>
    </row>
    <row r="65" ht="15.75" customHeight="1">
      <c r="E65" s="46"/>
    </row>
    <row r="66" ht="15.75" customHeight="1">
      <c r="E66" s="46"/>
    </row>
    <row r="67" ht="15.75" customHeight="1">
      <c r="E67" s="46"/>
    </row>
    <row r="68" ht="15.75" customHeight="1">
      <c r="E68" s="46"/>
    </row>
    <row r="69" ht="15.75" customHeight="1">
      <c r="E69" s="46"/>
    </row>
    <row r="70" ht="15.75" customHeight="1">
      <c r="E70" s="46"/>
    </row>
    <row r="71" ht="15.75" customHeight="1">
      <c r="E71" s="46"/>
    </row>
    <row r="72" ht="15.75" customHeight="1">
      <c r="E72" s="46"/>
    </row>
    <row r="73" ht="15.75" customHeight="1">
      <c r="E73" s="46"/>
    </row>
    <row r="74" ht="15.75" customHeight="1">
      <c r="E74" s="46"/>
    </row>
    <row r="75" ht="15.75" customHeight="1">
      <c r="E75" s="46"/>
    </row>
    <row r="76" ht="15.75" customHeight="1">
      <c r="E76" s="46"/>
    </row>
    <row r="77" ht="15.75" customHeight="1">
      <c r="E77" s="46"/>
    </row>
    <row r="78" ht="15.75" customHeight="1">
      <c r="E78" s="46"/>
    </row>
    <row r="79" ht="15.75" customHeight="1">
      <c r="E79" s="46"/>
    </row>
    <row r="80" ht="15.75" customHeight="1">
      <c r="E80" s="46"/>
    </row>
    <row r="81" ht="15.75" customHeight="1">
      <c r="E81" s="46"/>
    </row>
    <row r="82" ht="15.75" customHeight="1">
      <c r="E82" s="46"/>
    </row>
    <row r="83" ht="15.75" customHeight="1">
      <c r="E83" s="46"/>
    </row>
    <row r="84" ht="15.75" customHeight="1">
      <c r="E84" s="46"/>
    </row>
    <row r="85" ht="15.75" customHeight="1">
      <c r="E85" s="46"/>
    </row>
    <row r="86" ht="15.75" customHeight="1">
      <c r="E86" s="46"/>
    </row>
    <row r="87" ht="15.75" customHeight="1">
      <c r="E87" s="46"/>
    </row>
    <row r="88" ht="15.75" customHeight="1">
      <c r="E88" s="46"/>
    </row>
    <row r="89" ht="15.75" customHeight="1">
      <c r="E89" s="46"/>
    </row>
    <row r="90" ht="15.75" customHeight="1">
      <c r="E90" s="46"/>
    </row>
    <row r="91" ht="15.75" customHeight="1">
      <c r="E91" s="46"/>
    </row>
    <row r="92" ht="15.75" customHeight="1">
      <c r="E92" s="46"/>
    </row>
    <row r="93" ht="15.75" customHeight="1">
      <c r="E93" s="46"/>
    </row>
    <row r="94" ht="15.75" customHeight="1">
      <c r="E94" s="46"/>
    </row>
    <row r="95" ht="15.75" customHeight="1">
      <c r="E95" s="46"/>
    </row>
    <row r="96" ht="15.75" customHeight="1">
      <c r="E96" s="46"/>
    </row>
    <row r="97" ht="15.75" customHeight="1">
      <c r="E97" s="46"/>
    </row>
    <row r="98" ht="15.75" customHeight="1">
      <c r="E98" s="46"/>
    </row>
    <row r="99" ht="15.75" customHeight="1">
      <c r="E99" s="46"/>
    </row>
    <row r="100" ht="15.75" customHeight="1">
      <c r="E100" s="46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16.0"/>
    <col customWidth="1" min="3" max="3" width="18.0"/>
    <col customWidth="1" min="4" max="4" width="17.0"/>
    <col customWidth="1" min="5" max="5" width="16.0"/>
    <col customWidth="1" min="6" max="6" width="8.71"/>
    <col customWidth="1" min="7" max="7" width="18.0"/>
    <col customWidth="1" min="8" max="8" width="29.0"/>
    <col customWidth="1" min="9" max="9" width="38.0"/>
    <col customWidth="1" min="10" max="10" width="12.0"/>
    <col customWidth="1" min="11" max="26" width="8.71"/>
  </cols>
  <sheetData>
    <row r="1" ht="30.75" customHeight="1">
      <c r="A1" s="1" t="s">
        <v>73</v>
      </c>
    </row>
    <row r="2" ht="30.75" customHeight="1"/>
    <row r="3" ht="21.75" customHeight="1">
      <c r="A3" s="5" t="s">
        <v>74</v>
      </c>
    </row>
    <row r="5" ht="33.75" customHeight="1">
      <c r="A5" s="6" t="s">
        <v>9</v>
      </c>
      <c r="B5" s="9" t="s">
        <v>41</v>
      </c>
      <c r="C5" s="9" t="s">
        <v>75</v>
      </c>
      <c r="D5" s="9" t="s">
        <v>76</v>
      </c>
      <c r="E5" s="10" t="s">
        <v>68</v>
      </c>
      <c r="G5" s="6" t="s">
        <v>34</v>
      </c>
      <c r="H5" s="9" t="s">
        <v>77</v>
      </c>
      <c r="I5" s="9" t="s">
        <v>78</v>
      </c>
      <c r="J5" s="10" t="s">
        <v>79</v>
      </c>
    </row>
    <row r="6" ht="21.0" customHeight="1">
      <c r="A6" s="16" t="s">
        <v>61</v>
      </c>
      <c r="B6" s="16" t="s">
        <v>80</v>
      </c>
      <c r="C6" s="16" t="s">
        <v>58</v>
      </c>
      <c r="D6" s="16" t="s">
        <v>81</v>
      </c>
      <c r="E6" s="16" t="s">
        <v>82</v>
      </c>
      <c r="G6" s="16" t="s">
        <v>44</v>
      </c>
      <c r="H6" s="16" t="s">
        <v>83</v>
      </c>
      <c r="I6" s="16" t="s">
        <v>84</v>
      </c>
      <c r="J6" s="16" t="s">
        <v>85</v>
      </c>
    </row>
    <row r="7" ht="21.0" customHeight="1">
      <c r="A7" s="16" t="s">
        <v>57</v>
      </c>
      <c r="B7" s="16" t="s">
        <v>86</v>
      </c>
      <c r="C7" s="16" t="s">
        <v>62</v>
      </c>
      <c r="D7" s="16" t="s">
        <v>69</v>
      </c>
      <c r="E7" s="16" t="s">
        <v>87</v>
      </c>
      <c r="G7" s="16" t="s">
        <v>45</v>
      </c>
      <c r="H7" s="16" t="s">
        <v>88</v>
      </c>
      <c r="I7" s="16" t="s">
        <v>89</v>
      </c>
      <c r="J7" s="16" t="s">
        <v>90</v>
      </c>
    </row>
    <row r="8" ht="21.0" customHeight="1">
      <c r="A8" s="16" t="s">
        <v>91</v>
      </c>
      <c r="B8" s="16" t="s">
        <v>92</v>
      </c>
      <c r="C8" s="16" t="s">
        <v>93</v>
      </c>
      <c r="D8" s="16" t="s">
        <v>94</v>
      </c>
      <c r="E8" s="16" t="s">
        <v>95</v>
      </c>
      <c r="G8" s="16" t="s">
        <v>46</v>
      </c>
      <c r="H8" s="16" t="s">
        <v>96</v>
      </c>
      <c r="I8" s="16" t="s">
        <v>97</v>
      </c>
      <c r="J8" s="16" t="s">
        <v>98</v>
      </c>
    </row>
    <row r="9" ht="21.0" customHeight="1">
      <c r="A9" s="16" t="s">
        <v>99</v>
      </c>
      <c r="B9" s="16" t="s">
        <v>25</v>
      </c>
      <c r="C9" s="16"/>
      <c r="D9" s="16" t="s">
        <v>27</v>
      </c>
      <c r="E9" s="16"/>
      <c r="G9" s="16" t="s">
        <v>47</v>
      </c>
      <c r="H9" s="16" t="s">
        <v>100</v>
      </c>
      <c r="I9" s="16" t="s">
        <v>101</v>
      </c>
      <c r="J9" s="16" t="s">
        <v>98</v>
      </c>
    </row>
    <row r="10" ht="21.0" customHeight="1">
      <c r="A10" s="16"/>
      <c r="B10" s="16" t="s">
        <v>102</v>
      </c>
      <c r="C10" s="16"/>
      <c r="D10" s="16" t="s">
        <v>103</v>
      </c>
      <c r="E10" s="16"/>
      <c r="G10" s="16" t="s">
        <v>49</v>
      </c>
      <c r="H10" s="16" t="s">
        <v>104</v>
      </c>
      <c r="I10" s="16" t="s">
        <v>105</v>
      </c>
      <c r="J10" s="16" t="s">
        <v>98</v>
      </c>
    </row>
    <row r="11" ht="21.0" customHeight="1">
      <c r="G11" s="16" t="s">
        <v>50</v>
      </c>
      <c r="H11" s="16" t="s">
        <v>106</v>
      </c>
      <c r="I11" s="16" t="s">
        <v>107</v>
      </c>
      <c r="J11" s="16" t="s">
        <v>98</v>
      </c>
    </row>
    <row r="12" ht="21.0" customHeight="1">
      <c r="G12" s="16" t="s">
        <v>51</v>
      </c>
      <c r="H12" s="16" t="s">
        <v>108</v>
      </c>
      <c r="I12" s="16" t="s">
        <v>109</v>
      </c>
      <c r="J12" s="16" t="s">
        <v>90</v>
      </c>
    </row>
    <row r="13" ht="21.0" customHeight="1">
      <c r="G13" s="16" t="s">
        <v>52</v>
      </c>
      <c r="H13" s="16" t="s">
        <v>110</v>
      </c>
      <c r="I13" s="16" t="s">
        <v>111</v>
      </c>
      <c r="J13" s="16" t="s">
        <v>112</v>
      </c>
    </row>
    <row r="14" ht="21.0" customHeight="1">
      <c r="G14" s="16" t="s">
        <v>53</v>
      </c>
      <c r="H14" s="16" t="s">
        <v>113</v>
      </c>
      <c r="I14" s="16" t="s">
        <v>114</v>
      </c>
      <c r="J14" s="16" t="s">
        <v>90</v>
      </c>
    </row>
    <row r="15" ht="21.0" customHeight="1">
      <c r="G15" s="16" t="s">
        <v>36</v>
      </c>
      <c r="H15" s="16" t="s">
        <v>115</v>
      </c>
      <c r="I15" s="16" t="s">
        <v>116</v>
      </c>
      <c r="J15" s="16" t="s">
        <v>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2"/>
    <mergeCell ref="A3:L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18.0"/>
    <col customWidth="1" min="3" max="3" width="25.0"/>
    <col customWidth="1" min="4" max="26" width="8.71"/>
  </cols>
  <sheetData>
    <row r="1" ht="30.75" customHeight="1">
      <c r="A1" s="1" t="s">
        <v>117</v>
      </c>
    </row>
    <row r="2" ht="30.75" customHeight="1"/>
    <row r="3" ht="21.75" customHeight="1">
      <c r="A3" s="5" t="s">
        <v>118</v>
      </c>
    </row>
    <row r="5" ht="33.75" customHeight="1">
      <c r="A5" s="6" t="s">
        <v>119</v>
      </c>
      <c r="B5" s="9" t="s">
        <v>120</v>
      </c>
      <c r="C5" s="10" t="s">
        <v>121</v>
      </c>
    </row>
    <row r="6" ht="21.0" customHeight="1">
      <c r="A6" s="16" t="s">
        <v>43</v>
      </c>
      <c r="B6" s="28">
        <f>SUM('Campaign Meta Ads'!G2:G51)</f>
        <v>340000</v>
      </c>
      <c r="C6" s="45">
        <v>1.0</v>
      </c>
    </row>
    <row r="7" ht="21.0" customHeight="1">
      <c r="A7" s="16" t="s">
        <v>11</v>
      </c>
      <c r="B7" s="28">
        <f>SUM('Campaign Meta Ads'!H2:H51)</f>
        <v>235000</v>
      </c>
      <c r="C7" s="45">
        <f t="shared" ref="C7:C12" si="1">IF(B6=0,"",B7/B6)</f>
        <v>0.6911764706</v>
      </c>
    </row>
    <row r="8" ht="21.0" customHeight="1">
      <c r="A8" s="16" t="s">
        <v>21</v>
      </c>
      <c r="B8" s="28">
        <f>SUM('Campaign Meta Ads'!J2:J51)</f>
        <v>7300</v>
      </c>
      <c r="C8" s="45">
        <f t="shared" si="1"/>
        <v>0.03106382979</v>
      </c>
    </row>
    <row r="9" ht="21.0" customHeight="1">
      <c r="A9" s="16" t="s">
        <v>48</v>
      </c>
      <c r="B9" s="28">
        <f>SUM('Campaign Meta Ads'!N2:N51)</f>
        <v>2050</v>
      </c>
      <c r="C9" s="45">
        <f t="shared" si="1"/>
        <v>0.2808219178</v>
      </c>
    </row>
    <row r="10" ht="21.0" customHeight="1">
      <c r="A10" s="16" t="s">
        <v>22</v>
      </c>
      <c r="B10" s="28">
        <f>SUM('Campaign Meta Ads'!O2:O51)</f>
        <v>860</v>
      </c>
      <c r="C10" s="45">
        <f t="shared" si="1"/>
        <v>0.4195121951</v>
      </c>
    </row>
    <row r="11" ht="21.0" customHeight="1">
      <c r="A11" s="16" t="s">
        <v>25</v>
      </c>
      <c r="B11" s="28">
        <f>SUM('Campaign Meta Ads'!Q2:Q51)</f>
        <v>355</v>
      </c>
      <c r="C11" s="45">
        <f t="shared" si="1"/>
        <v>0.4127906977</v>
      </c>
    </row>
    <row r="12" ht="21.0" customHeight="1">
      <c r="A12" s="16" t="s">
        <v>27</v>
      </c>
      <c r="B12" s="28">
        <f>SUM('Campaign Meta Ads'!S2:S51)</f>
        <v>117</v>
      </c>
      <c r="C12" s="45">
        <f t="shared" si="1"/>
        <v>0.3295774648</v>
      </c>
    </row>
    <row r="13" ht="21.0" customHeight="1">
      <c r="A13" s="16" t="s">
        <v>29</v>
      </c>
      <c r="B13" s="28">
        <f>SUM('Campaign Meta Ads'!U2:U51)</f>
        <v>72500000</v>
      </c>
      <c r="C13" s="16" t="s">
        <v>122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2"/>
    <mergeCell ref="A3:N3"/>
  </mergeCells>
  <printOptions/>
  <pageMargins bottom="0.75" footer="0.0" header="0.0" left="0.7" right="0.7" top="0.75"/>
  <pageSetup orientation="landscape"/>
  <drawing r:id="rId1"/>
</worksheet>
</file>